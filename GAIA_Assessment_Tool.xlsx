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Assessment" sheetId="2" state="visible" r:id="rId2"/>
    <sheet name="Engine" sheetId="3" state="visible" r:id="rId3"/>
    <sheet name="Model Database" sheetId="4" state="visible" r:id="rId4"/>
    <sheet name="Region Factors" sheetId="5" state="visible" r:id="rId5"/>
    <sheet name="Facility Profiles" sheetId="6" state="visible" r:id="rId6"/>
    <sheet name="Grading" sheetId="7" state="visible" r:id="rId7"/>
    <sheet name="Mitigation" sheetId="8" state="visible" r:id="rId8"/>
    <sheet name="Scenario Compare" sheetId="9" state="visible" r:id="rId9"/>
    <sheet name="Usage Log" sheetId="10" state="visible" r:id="rId10"/>
    <sheet name="Methodology &amp; Sources" sheetId="11" state="visible" r:id="rId11"/>
    <sheet name="Framework Comparison" sheetId="12" state="visible" r:id="rId12"/>
    <sheet name="SDG &amp; Reporting Map" sheetId="13" state="visible" r:id="rId13"/>
    <sheet name="Changelog" sheetId="14" state="visible" r:id="rId14"/>
  </sheets>
  <definedNames/>
  <calcPr calcId="124519" fullCalcOnLoad="1"/>
</workbook>
</file>

<file path=xl/styles.xml><?xml version="1.0" encoding="utf-8"?>
<styleSheet xmlns="http://schemas.openxmlformats.org/spreadsheetml/2006/main">
  <numFmts count="6">
    <numFmt numFmtId="164" formatCode="0.0000"/>
    <numFmt numFmtId="165" formatCode="0.000"/>
    <numFmt numFmtId="166" formatCode="0.0"/>
    <numFmt numFmtId="167" formatCode="#,##0.0"/>
    <numFmt numFmtId="168" formatCode="0.#"/>
    <numFmt numFmtId="169" formatCode="+0.0%;-0.0%;0%"/>
  </numFmts>
  <fonts count="16">
    <font>
      <name val="Calibri"/>
      <family val="2"/>
      <color theme="1"/>
      <sz val="11"/>
      <scheme val="minor"/>
    </font>
    <font>
      <name val="Calibri"/>
      <b val="1"/>
      <color rgb="001F4E42"/>
      <sz val="20"/>
    </font>
    <font>
      <name val="Calibri"/>
      <i val="1"/>
      <color rgb="00595959"/>
      <sz val="10"/>
    </font>
    <font>
      <name val="Calibri"/>
      <sz val="11"/>
    </font>
    <font>
      <name val="Calibri"/>
      <b val="1"/>
      <color rgb="001F4E42"/>
      <sz val="13"/>
    </font>
    <font>
      <name val="Calibri"/>
      <b val="1"/>
      <color rgb="001F4E42"/>
      <sz val="16"/>
    </font>
    <font>
      <name val="Calibri"/>
      <b val="1"/>
      <color rgb="00FFFFFF"/>
      <sz val="11"/>
    </font>
    <font>
      <name val="Calibri"/>
      <b val="1"/>
      <sz val="11"/>
    </font>
    <font>
      <name val="Calibri"/>
      <color rgb="00595959"/>
      <sz val="9"/>
    </font>
    <font>
      <name val="Calibri"/>
      <b val="1"/>
      <sz val="28"/>
    </font>
    <font>
      <name val="Calibri"/>
      <b val="1"/>
      <sz val="14"/>
    </font>
    <font>
      <b val="1"/>
      <color rgb="00FFFFFF"/>
    </font>
    <font>
      <b val="1"/>
      <color rgb="00000000"/>
    </font>
    <font>
      <name val="Calibri"/>
      <b val="1"/>
      <sz val="16"/>
    </font>
    <font>
      <i val="1"/>
      <color rgb="00808080"/>
    </font>
    <font>
      <name val="Consolas"/>
      <sz val="10"/>
    </font>
  </fonts>
  <fills count="16">
    <fill>
      <patternFill/>
    </fill>
    <fill>
      <patternFill patternType="gray125"/>
    </fill>
    <fill>
      <patternFill patternType="solid">
        <fgColor rgb="00FFF2CC"/>
      </patternFill>
    </fill>
    <fill>
      <patternFill patternType="solid">
        <fgColor rgb="00DCE6F1"/>
      </patternFill>
    </fill>
    <fill>
      <patternFill patternType="solid">
        <fgColor rgb="001F4E42"/>
      </patternFill>
    </fill>
    <fill>
      <patternFill patternType="solid">
        <fgColor rgb="00F2F2F2"/>
      </patternFill>
    </fill>
    <fill>
      <patternFill patternType="solid">
        <fgColor rgb="003D6B5E"/>
      </patternFill>
    </fill>
    <fill>
      <patternFill patternType="solid">
        <fgColor rgb="00FCE4D6"/>
      </patternFill>
    </fill>
    <fill>
      <patternFill patternType="solid">
        <fgColor rgb="00E2EFDA"/>
      </patternFill>
    </fill>
    <fill>
      <patternFill patternType="solid">
        <fgColor rgb="00EAF3EC"/>
      </patternFill>
    </fill>
    <fill>
      <patternFill patternType="solid">
        <fgColor rgb="001E7B34"/>
      </patternFill>
    </fill>
    <fill>
      <patternFill patternType="solid">
        <fgColor rgb="0070AD47"/>
      </patternFill>
    </fill>
    <fill>
      <patternFill patternType="solid">
        <fgColor rgb="00FFD966"/>
      </patternFill>
    </fill>
    <fill>
      <patternFill patternType="solid">
        <fgColor rgb="00ED7D31"/>
      </patternFill>
    </fill>
    <fill>
      <patternFill patternType="solid">
        <fgColor rgb="00C00000"/>
      </patternFill>
    </fill>
    <fill>
      <patternFill patternType="solid">
        <fgColor rgb="00C6EFCE"/>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76">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3" fillId="2" borderId="1" pivotButton="0" quotePrefix="0" xfId="0"/>
    <xf numFmtId="0" fontId="3" fillId="3" borderId="1" pivotButton="0" quotePrefix="0" xfId="0"/>
    <xf numFmtId="0" fontId="5" fillId="0" borderId="0" pivotButton="0" quotePrefix="0" xfId="0"/>
    <xf numFmtId="0" fontId="6" fillId="4" borderId="1" pivotButton="0" quotePrefix="0" xfId="0"/>
    <xf numFmtId="0" fontId="0" fillId="4" borderId="1" pivotButton="0" quotePrefix="0" xfId="0"/>
    <xf numFmtId="0" fontId="7" fillId="0" borderId="1" applyAlignment="1" pivotButton="0" quotePrefix="0" xfId="0">
      <alignment vertical="top" wrapText="1"/>
    </xf>
    <xf numFmtId="0" fontId="3" fillId="2" borderId="1" applyAlignment="1" pivotButton="0" quotePrefix="0" xfId="0">
      <alignment horizontal="center" vertical="center"/>
    </xf>
    <xf numFmtId="0" fontId="8" fillId="0" borderId="0" applyAlignment="1" pivotButton="0" quotePrefix="0" xfId="0">
      <alignment vertical="top" wrapText="1"/>
    </xf>
    <xf numFmtId="1" fontId="3" fillId="2" borderId="1" applyAlignment="1" pivotButton="0" quotePrefix="0" xfId="0">
      <alignment horizontal="center" vertical="center"/>
    </xf>
    <xf numFmtId="3" fontId="3" fillId="2" borderId="1" applyAlignment="1" pivotButton="0" quotePrefix="0" xfId="0">
      <alignment horizontal="center" vertical="center"/>
    </xf>
    <xf numFmtId="2" fontId="3" fillId="2" borderId="1" applyAlignment="1" pivotButton="0" quotePrefix="0" xfId="0">
      <alignment horizontal="center" vertical="center"/>
    </xf>
    <xf numFmtId="0" fontId="6" fillId="4" borderId="1" applyAlignment="1" pivotButton="0" quotePrefix="0" xfId="0">
      <alignment horizontal="center" vertical="center" wrapText="1"/>
    </xf>
    <xf numFmtId="164" fontId="3" fillId="3" borderId="1" applyAlignment="1" pivotButton="0" quotePrefix="0" xfId="0">
      <alignment horizontal="center" vertical="center"/>
    </xf>
    <xf numFmtId="0" fontId="8" fillId="5" borderId="1" applyAlignment="1" pivotButton="0" quotePrefix="0" xfId="0">
      <alignment vertical="top" wrapText="1"/>
    </xf>
    <xf numFmtId="165" fontId="3" fillId="3" borderId="1" applyAlignment="1" pivotButton="0" quotePrefix="0" xfId="0">
      <alignment horizontal="center" vertical="center"/>
    </xf>
    <xf numFmtId="166" fontId="3" fillId="3" borderId="1" applyAlignment="1" pivotButton="0" quotePrefix="0" xfId="0">
      <alignment horizontal="center" vertical="center"/>
    </xf>
    <xf numFmtId="0" fontId="9" fillId="0" borderId="1" applyAlignment="1" pivotButton="0" quotePrefix="0" xfId="0">
      <alignment horizontal="center" vertical="center"/>
    </xf>
    <xf numFmtId="0" fontId="0" fillId="0" borderId="1" pivotButton="0" quotePrefix="0" xfId="0"/>
    <xf numFmtId="0" fontId="10" fillId="3" borderId="1" applyAlignment="1" pivotButton="0" quotePrefix="0" xfId="0">
      <alignment horizontal="center" vertical="center"/>
    </xf>
    <xf numFmtId="0" fontId="7" fillId="3" borderId="1" applyAlignment="1" pivotButton="0" quotePrefix="0" xfId="0">
      <alignment horizontal="center" vertical="center"/>
    </xf>
    <xf numFmtId="0" fontId="7" fillId="3" borderId="1" applyAlignment="1" pivotButton="0" quotePrefix="0" xfId="0">
      <alignment vertical="top" wrapText="1"/>
    </xf>
    <xf numFmtId="0" fontId="3" fillId="0" borderId="1" applyAlignment="1" pivotButton="0" quotePrefix="0" xfId="0">
      <alignment vertical="top" wrapText="1"/>
    </xf>
    <xf numFmtId="167" fontId="3" fillId="3" borderId="1" applyAlignment="1" pivotButton="0" quotePrefix="0" xfId="0">
      <alignment horizontal="center" vertical="center"/>
    </xf>
    <xf numFmtId="0" fontId="8" fillId="0" borderId="0" pivotButton="0" quotePrefix="0" xfId="0"/>
    <xf numFmtId="0" fontId="6" fillId="6" borderId="1" pivotButton="0" quotePrefix="0" xfId="0"/>
    <xf numFmtId="0" fontId="0" fillId="6" borderId="1" pivotButton="0" quotePrefix="0" xfId="0"/>
    <xf numFmtId="0" fontId="3" fillId="3" borderId="1" applyAlignment="1" pivotButton="0" quotePrefix="0" xfId="0">
      <alignment horizontal="center" vertical="center"/>
    </xf>
    <xf numFmtId="2" fontId="3" fillId="3" borderId="1" applyAlignment="1" pivotButton="0" quotePrefix="0" xfId="0">
      <alignment horizontal="center" vertical="center"/>
    </xf>
    <xf numFmtId="1" fontId="3" fillId="3" borderId="1" applyAlignment="1" pivotButton="0" quotePrefix="0" xfId="0">
      <alignment horizontal="center" vertical="center"/>
    </xf>
    <xf numFmtId="168" fontId="3" fillId="0" borderId="1" applyAlignment="1" pivotButton="0" quotePrefix="0" xfId="0">
      <alignment horizontal="center" vertical="top"/>
    </xf>
    <xf numFmtId="164" fontId="3" fillId="0" borderId="1" applyAlignment="1" pivotButton="0" quotePrefix="0" xfId="0">
      <alignment horizontal="center" vertical="top"/>
    </xf>
    <xf numFmtId="0" fontId="7" fillId="7" borderId="1" applyAlignment="1" pivotButton="0" quotePrefix="0" xfId="0">
      <alignment horizontal="center" vertical="center"/>
    </xf>
    <xf numFmtId="0" fontId="7" fillId="8" borderId="1" applyAlignment="1" pivotButton="0" quotePrefix="0" xfId="0">
      <alignment horizontal="center" vertical="center"/>
    </xf>
    <xf numFmtId="0" fontId="7" fillId="9" borderId="1" applyAlignment="1" pivotButton="0" quotePrefix="0" xfId="0">
      <alignment vertical="top" wrapText="1"/>
    </xf>
    <xf numFmtId="0" fontId="7" fillId="2" borderId="1" applyAlignment="1" pivotButton="0" quotePrefix="0" xfId="0">
      <alignment horizontal="center" vertical="center"/>
    </xf>
    <xf numFmtId="1" fontId="3" fillId="0" borderId="1" applyAlignment="1" pivotButton="0" quotePrefix="0" xfId="0">
      <alignment horizontal="center" vertical="top"/>
    </xf>
    <xf numFmtId="166" fontId="3" fillId="0" borderId="1" applyAlignment="1" pivotButton="0" quotePrefix="0" xfId="0">
      <alignment horizontal="center" vertical="top"/>
    </xf>
    <xf numFmtId="2" fontId="3" fillId="0" borderId="1" applyAlignment="1" pivotButton="0" quotePrefix="0" xfId="0">
      <alignment horizontal="center" vertical="top"/>
    </xf>
    <xf numFmtId="0" fontId="3" fillId="0" borderId="1" applyAlignment="1" pivotButton="0" quotePrefix="0" xfId="0">
      <alignment horizontal="center" vertical="top"/>
    </xf>
    <xf numFmtId="0" fontId="11" fillId="10" borderId="1" applyAlignment="1" pivotButton="0" quotePrefix="0" xfId="0">
      <alignment horizontal="center" vertical="top"/>
    </xf>
    <xf numFmtId="0" fontId="11" fillId="11" borderId="1" applyAlignment="1" pivotButton="0" quotePrefix="0" xfId="0">
      <alignment horizontal="center" vertical="top"/>
    </xf>
    <xf numFmtId="0" fontId="12" fillId="12" borderId="1" applyAlignment="1" pivotButton="0" quotePrefix="0" xfId="0">
      <alignment horizontal="center" vertical="top"/>
    </xf>
    <xf numFmtId="0" fontId="11" fillId="13" borderId="1" applyAlignment="1" pivotButton="0" quotePrefix="0" xfId="0">
      <alignment horizontal="center" vertical="top"/>
    </xf>
    <xf numFmtId="0" fontId="11" fillId="14" borderId="1" applyAlignment="1" pivotButton="0" quotePrefix="0" xfId="0">
      <alignment horizontal="center" vertical="top"/>
    </xf>
    <xf numFmtId="0" fontId="7" fillId="0" borderId="0" pivotButton="0" quotePrefix="0" xfId="0"/>
    <xf numFmtId="0" fontId="0" fillId="2" borderId="1" applyAlignment="1" pivotButton="0" quotePrefix="0" xfId="0">
      <alignment horizontal="center" vertical="center"/>
    </xf>
    <xf numFmtId="3" fontId="0" fillId="2" borderId="1" applyAlignment="1" pivotButton="0" quotePrefix="0" xfId="0">
      <alignment horizontal="center" vertical="center"/>
    </xf>
    <xf numFmtId="2" fontId="0" fillId="2" borderId="1" applyAlignment="1" pivotButton="0" quotePrefix="0" xfId="0">
      <alignment horizontal="center" vertical="center"/>
    </xf>
    <xf numFmtId="164" fontId="0" fillId="3" borderId="1" applyAlignment="1" pivotButton="0" quotePrefix="0" xfId="0">
      <alignment horizontal="center" vertical="center"/>
    </xf>
    <xf numFmtId="0" fontId="0" fillId="3" borderId="1" applyAlignment="1" pivotButton="0" quotePrefix="0" xfId="0">
      <alignment horizontal="center" vertical="center"/>
    </xf>
    <xf numFmtId="2" fontId="0" fillId="3" borderId="1" applyAlignment="1" pivotButton="0" quotePrefix="0" xfId="0">
      <alignment horizontal="center" vertical="center"/>
    </xf>
    <xf numFmtId="1" fontId="0" fillId="3" borderId="1" applyAlignment="1" pivotButton="0" quotePrefix="0" xfId="0">
      <alignment horizontal="center" vertical="center"/>
    </xf>
    <xf numFmtId="164" fontId="7" fillId="3" borderId="1" applyAlignment="1" pivotButton="0" quotePrefix="0" xfId="0">
      <alignment horizontal="center" vertical="center"/>
    </xf>
    <xf numFmtId="165" fontId="0" fillId="3" borderId="1" applyAlignment="1" pivotButton="0" quotePrefix="0" xfId="0">
      <alignment horizontal="center" vertical="center"/>
    </xf>
    <xf numFmtId="165" fontId="7" fillId="3" borderId="1" applyAlignment="1" pivotButton="0" quotePrefix="0" xfId="0">
      <alignment horizontal="center" vertical="center"/>
    </xf>
    <xf numFmtId="166" fontId="0" fillId="3" borderId="1" applyAlignment="1" pivotButton="0" quotePrefix="0" xfId="0">
      <alignment horizontal="center" vertical="center"/>
    </xf>
    <xf numFmtId="0" fontId="13" fillId="3" borderId="1" applyAlignment="1" pivotButton="0" quotePrefix="0" xfId="0">
      <alignment horizontal="center" vertical="center"/>
    </xf>
    <xf numFmtId="169" fontId="7" fillId="3" borderId="1" applyAlignment="1" pivotButton="0" quotePrefix="0" xfId="0">
      <alignment horizontal="center" vertical="center"/>
    </xf>
    <xf numFmtId="0" fontId="14" fillId="2" borderId="1" pivotButton="0" quotePrefix="0" xfId="0"/>
    <xf numFmtId="0" fontId="14" fillId="2" borderId="1" applyAlignment="1" pivotButton="0" quotePrefix="0" xfId="0">
      <alignment horizontal="center" vertical="center"/>
    </xf>
    <xf numFmtId="0" fontId="3" fillId="2" borderId="1" applyAlignment="1" pivotButton="0" quotePrefix="0" xfId="0">
      <alignment horizontal="left"/>
    </xf>
    <xf numFmtId="0" fontId="7" fillId="0" borderId="1" pivotButton="0" quotePrefix="0" xfId="0"/>
    <xf numFmtId="166" fontId="7" fillId="3" borderId="1" applyAlignment="1" pivotButton="0" quotePrefix="0" xfId="0">
      <alignment horizontal="center" vertical="center"/>
    </xf>
    <xf numFmtId="0" fontId="15" fillId="0" borderId="0" applyAlignment="1" pivotButton="0" quotePrefix="0" xfId="0">
      <alignment vertical="top" wrapText="1"/>
    </xf>
    <xf numFmtId="0" fontId="6" fillId="4" borderId="1" applyAlignment="1" pivotButton="0" quotePrefix="0" xfId="0">
      <alignment vertical="top" wrapText="1"/>
    </xf>
    <xf numFmtId="0" fontId="7" fillId="15" borderId="1" applyAlignment="1" pivotButton="0" quotePrefix="0" xfId="0">
      <alignment vertical="top" wrapText="1"/>
    </xf>
    <xf numFmtId="0" fontId="7" fillId="8" borderId="1" applyAlignment="1" pivotButton="0" quotePrefix="0" xfId="0">
      <alignment vertical="top" wrapText="1"/>
    </xf>
    <xf numFmtId="0" fontId="7" fillId="2" borderId="1" applyAlignment="1" pivotButton="0" quotePrefix="0" xfId="0">
      <alignment vertical="top" wrapText="1"/>
    </xf>
    <xf numFmtId="0" fontId="7" fillId="7" borderId="1" applyAlignment="1" pivotButton="0" quotePrefix="0" xfId="0">
      <alignment vertical="top" wrapText="1"/>
    </xf>
    <xf numFmtId="0" fontId="0" fillId="0" borderId="4" pivotButton="0" quotePrefix="0" xfId="0"/>
    <xf numFmtId="0" fontId="0" fillId="0" borderId="5" pivotButton="0" quotePrefix="0" xfId="0"/>
  </cellXfs>
  <cellStyles count="1">
    <cellStyle name="Normal" xfId="0" builtinId="0" hidden="0"/>
  </cellStyles>
  <dxfs count="10">
    <dxf>
      <font>
        <b val="1"/>
        <color rgb="00FFFFFF"/>
        <sz val="28"/>
      </font>
      <fill>
        <patternFill patternType="solid">
          <fgColor rgb="001E7B34"/>
        </patternFill>
      </fill>
    </dxf>
    <dxf>
      <font>
        <b val="1"/>
        <color rgb="00FFFFFF"/>
        <sz val="28"/>
      </font>
      <fill>
        <patternFill patternType="solid">
          <fgColor rgb="0070AD47"/>
        </patternFill>
      </fill>
    </dxf>
    <dxf>
      <font>
        <b val="1"/>
        <color rgb="00000000"/>
        <sz val="28"/>
      </font>
      <fill>
        <patternFill patternType="solid">
          <fgColor rgb="00FFD966"/>
        </patternFill>
      </fill>
    </dxf>
    <dxf>
      <font>
        <b val="1"/>
        <color rgb="00FFFFFF"/>
        <sz val="28"/>
      </font>
      <fill>
        <patternFill patternType="solid">
          <fgColor rgb="00ED7D31"/>
        </patternFill>
      </fill>
    </dxf>
    <dxf>
      <font>
        <b val="1"/>
        <color rgb="00FFFFFF"/>
        <sz val="28"/>
      </font>
      <fill>
        <patternFill patternType="solid">
          <fgColor rgb="00C00000"/>
        </patternFill>
      </fill>
    </dxf>
    <dxf>
      <font>
        <b val="1"/>
        <color rgb="00FFFFFF"/>
        <sz val="16"/>
      </font>
      <fill>
        <patternFill patternType="solid">
          <fgColor rgb="001E7B34"/>
        </patternFill>
      </fill>
    </dxf>
    <dxf>
      <font>
        <b val="1"/>
        <color rgb="00FFFFFF"/>
        <sz val="16"/>
      </font>
      <fill>
        <patternFill patternType="solid">
          <fgColor rgb="0070AD47"/>
        </patternFill>
      </fill>
    </dxf>
    <dxf>
      <font>
        <b val="1"/>
        <color rgb="00000000"/>
        <sz val="16"/>
      </font>
      <fill>
        <patternFill patternType="solid">
          <fgColor rgb="00FFD966"/>
        </patternFill>
      </fill>
    </dxf>
    <dxf>
      <font>
        <b val="1"/>
        <color rgb="00FFFFFF"/>
        <sz val="16"/>
      </font>
      <fill>
        <patternFill patternType="solid">
          <fgColor rgb="00ED7D31"/>
        </patternFill>
      </fill>
    </dxf>
    <dxf>
      <font>
        <b val="1"/>
        <color rgb="00FFFFFF"/>
        <sz val="16"/>
      </font>
      <fill>
        <patternFill patternType="solid">
          <fgColor rgb="00C00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7"/>
  <sheetViews>
    <sheetView showGridLines="0" workbookViewId="0">
      <selection activeCell="A1" sqref="A1"/>
    </sheetView>
  </sheetViews>
  <sheetFormatPr baseColWidth="8" defaultRowHeight="15"/>
  <cols>
    <col width="3" customWidth="1" min="1" max="1"/>
    <col width="100" customWidth="1" min="2" max="2"/>
  </cols>
  <sheetData>
    <row r="2">
      <c r="B2" s="1" t="inlineStr">
        <is>
          <t>GAIA 2.0 — Green AI Assessment Tool</t>
        </is>
      </c>
    </row>
    <row r="3">
      <c r="B3" s="2" t="inlineStr">
        <is>
          <t>Version 2.2.0 · 2026-09-16 · MIT License · Generated by build_workbook.py from data/*.csv — never hand-edited (FRAMEWORK.md §9)</t>
        </is>
      </c>
    </row>
    <row r="5">
      <c r="B5" s="3" t="inlineStr"/>
    </row>
    <row r="6">
      <c r="B6" s="4" t="inlineStr">
        <is>
          <t>What this tool is</t>
        </is>
      </c>
    </row>
    <row r="7">
      <c r="B7" s="3" t="inlineStr">
        <is>
          <t>GAIA answers three questions for an organization that USES AI (via APIs, hosted deployments, or self-hosted models): (1) how large is the environmental footprint of a use case — energy, carbon, and water — with uncertainty bounds and data provenance; (2) is that footprint reasonable for the task, graded against published measurements; (3) what should change, ranked by evidence. Method: Ground → Assess → Interpret → Act.</t>
        </is>
      </c>
    </row>
    <row r="8">
      <c r="B8" s="3" t="inlineStr"/>
    </row>
    <row r="9">
      <c r="B9" s="4" t="inlineStr">
        <is>
          <t>How to use it — 5 steps</t>
        </is>
      </c>
    </row>
    <row r="10">
      <c r="B10" s="3" t="inlineStr">
        <is>
          <t>1.  Open the Assessment sheet and pick your Model and Task class from the dropdowns.</t>
        </is>
      </c>
    </row>
    <row r="11">
      <c r="B11" s="3" t="inlineStr">
        <is>
          <t>2.  Enter your token profile (tokens in / out per request) and queries per month — class defaults are shown next to the inputs for reference.</t>
        </is>
      </c>
    </row>
    <row r="12">
      <c r="B12" s="3" t="inlineStr">
        <is>
          <t>3.  Choose the Facility profile and Hosting region (keep the honest defaults — 'Unknown (API default)' and 'Global average' — if you don't know).</t>
        </is>
      </c>
    </row>
    <row r="13">
      <c r="B13" s="3" t="inlineStr">
        <is>
          <t>4.  Answer the three frugality questions (necessity, right-sizing, token discipline) with Yes/No.</t>
        </is>
      </c>
    </row>
    <row r="14">
      <c r="B14" s="3" t="inlineStr">
        <is>
          <t>5.  Read the Results block: low/central/high energy, carbon (dual), and water; the efficiency grade and frugality flag; and the guidance line. Then pick levers on the Mitigation sheet. Track months on the Usage Log.</t>
        </is>
      </c>
    </row>
    <row r="15">
      <c r="B15" s="3" t="inlineStr"/>
    </row>
    <row r="16">
      <c r="B16" s="4" t="inlineStr">
        <is>
          <t>Color key</t>
        </is>
      </c>
    </row>
    <row r="17">
      <c r="B17" s="5" t="inlineStr">
        <is>
          <t xml:space="preserve">  Input cell — light yellow: the cells you edit (dropdowns or typed values)</t>
        </is>
      </c>
    </row>
    <row r="18">
      <c r="B18" s="6" t="inlineStr">
        <is>
          <t xml:space="preserve">  Computed cell — light blue: results calculated by the workbook; do not edit</t>
        </is>
      </c>
    </row>
    <row r="19">
      <c r="B19" s="3" t="inlineStr"/>
    </row>
    <row r="20">
      <c r="B20" s="4" t="inlineStr">
        <is>
          <t>One honest note about uncertainty (Principle P2)</t>
        </is>
      </c>
    </row>
    <row r="21">
      <c r="B21" s="3" t="inlineStr">
        <is>
          <t>Every result is a low/central/high interval, not a single number. The interval width comes from the data-quality tier of the chosen model row (×1.15 measured … ×3 modeled — see Methodology &amp; Sources). The bounds shown are energy-dominated; uncertainty in PUE, grid carbon intensity, WUE and EWIF adds beyond them. A point estimate without bounds would be pseudo-precision.</t>
        </is>
      </c>
    </row>
    <row r="22">
      <c r="B22" s="3" t="inlineStr"/>
    </row>
    <row r="23">
      <c r="B23" s="4" t="inlineStr">
        <is>
          <t>Where everything lives</t>
        </is>
      </c>
    </row>
    <row r="24">
      <c r="B24" s="3" t="inlineStr">
        <is>
          <t>Assessment = the one sheet you fill in.  Scenario Compare = four deployment options side by side on one workload.  Engine = every intermediate calculation, documented.  Model Database / Region Factors / Facility Profiles / Grading / Mitigation = the sourced data tables (from data/*.csv).  Usage Log = monthly tracking template.  Methodology &amp; Sources = equations, tiers, boundary, limitations, full source list.  Framework Comparison = how GAIA maps to SCI, GHG Protocol, AI Energy Score and others, plus the standards it implements.  SDG &amp; Reporting Map = where the answers land in GRI / ESRS / IFRS / CDP / SBTi.  Changelog = version history.</t>
        </is>
      </c>
    </row>
    <row r="25">
      <c r="B25" s="3" t="inlineStr"/>
    </row>
    <row r="26">
      <c r="B26" s="4" t="inlineStr">
        <is>
          <t>Reading the Model Database honestly</t>
        </is>
      </c>
    </row>
    <row r="27">
      <c r="B27" s="3" t="inlineStr">
        <is>
          <t>The Tier column is the provenance of the number, not the quality of the model. Most rows are T4 (modelled): no closed provider publishes per-model serving energy, and a user of a closed API cannot measure it. Rows marked with a class anchor in their Basis share one placeholder value across every closed model of that capability class — that is a statement about missing disclosure, not a finding that the models are equally efficient. Open-weight rows are the ones you can meter yourself, which moves them to T1 and cuts the uncertainty band roughly fourfold.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1:F37"/>
  <sheetViews>
    <sheetView showGridLines="0" workbookViewId="0">
      <pane ySplit="2" topLeftCell="A3" activePane="bottomLeft" state="frozen"/>
      <selection pane="bottomLeft" activeCell="A1" sqref="A1"/>
    </sheetView>
  </sheetViews>
  <sheetFormatPr baseColWidth="8" defaultRowHeight="15"/>
  <cols>
    <col width="2" customWidth="1" min="1" max="1"/>
    <col width="52" customWidth="1" min="2" max="2"/>
    <col width="16" customWidth="1" min="3" max="3"/>
    <col width="15" customWidth="1" min="4" max="4"/>
    <col width="15" customWidth="1" min="5" max="5"/>
    <col width="46" customWidth="1" min="6" max="6"/>
  </cols>
  <sheetData>
    <row r="1">
      <c r="B1" s="7" t="inlineStr">
        <is>
          <t>GAIA 2.0 — AI Use-Case Assessment</t>
        </is>
      </c>
    </row>
    <row r="2">
      <c r="B2" s="2" t="inlineStr">
        <is>
          <t>Edit the yellow cells only. Blue cells are computed from the Engine sheet. All results are low / central / high (P2).</t>
        </is>
      </c>
    </row>
    <row r="3">
      <c r="B3" s="8" t="inlineStr">
        <is>
          <t>INPUTS</t>
        </is>
      </c>
      <c r="C3" s="9" t="n"/>
      <c r="D3" s="9" t="n"/>
      <c r="E3" s="9" t="n"/>
      <c r="F3" s="9" t="n"/>
    </row>
    <row r="4">
      <c r="B4" s="10" t="inlineStr">
        <is>
          <t>1 · Model</t>
        </is>
      </c>
      <c r="C4" s="11" t="inlineStr">
        <is>
          <t>GPT-4o</t>
        </is>
      </c>
      <c r="D4" s="12" t="inlineStr">
        <is>
          <t>Dropdown — full provenance in 'Model Database'</t>
        </is>
      </c>
    </row>
    <row r="5">
      <c r="B5" s="10" t="inlineStr">
        <is>
          <t>2 · Task class</t>
        </is>
      </c>
      <c r="C5" s="11" t="inlineStr">
        <is>
          <t>Standard</t>
        </is>
      </c>
      <c r="D5" s="12" t="inlineStr">
        <is>
          <t>L / S / H / R — definitions and bands in 'Grading'</t>
        </is>
      </c>
    </row>
    <row r="6">
      <c r="B6" s="10" t="inlineStr">
        <is>
          <t>3 · Tokens in (per request)</t>
        </is>
      </c>
      <c r="C6" s="13" t="n">
        <v>500</v>
      </c>
      <c r="D6" s="12">
        <f>IFERROR("Class default: "&amp;INDEX(Grading!$C$2:$C$5,MATCH($C$5,Grading!$A$2:$A$5,0)),"")</f>
        <v/>
      </c>
    </row>
    <row r="7">
      <c r="B7" s="10" t="inlineStr">
        <is>
          <t>4 · Tokens out (per request)</t>
        </is>
      </c>
      <c r="C7" s="13" t="n">
        <v>300</v>
      </c>
      <c r="D7" s="12">
        <f>IFERROR("Class default: "&amp;INDEX(Grading!$D$2:$D$5,MATCH($C$5,Grading!$A$2:$A$5,0)),"")</f>
        <v/>
      </c>
    </row>
    <row r="8">
      <c r="B8" s="10" t="inlineStr">
        <is>
          <t>5 · Queries per month</t>
        </is>
      </c>
      <c r="C8" s="14" t="n">
        <v>1000</v>
      </c>
      <c r="D8" s="12" t="inlineStr"/>
    </row>
    <row r="9">
      <c r="B9" s="10" t="inlineStr">
        <is>
          <t>6 · Facility profile</t>
        </is>
      </c>
      <c r="C9" s="11" t="inlineStr">
        <is>
          <t>Unknown (API default)</t>
        </is>
      </c>
      <c r="D9" s="12" t="inlineStr">
        <is>
          <t>PUE and WUE per profile in 'Facility Profiles'</t>
        </is>
      </c>
    </row>
    <row r="10">
      <c r="B10" s="10" t="inlineStr">
        <is>
          <t>7 · Hosting region</t>
        </is>
      </c>
      <c r="C10" s="11" t="inlineStr">
        <is>
          <t>Global average</t>
        </is>
      </c>
      <c r="D10" s="12" t="inlineStr">
        <is>
          <t>Grid CI and EWIF in 'Region Factors'; keep 'Global average' if unknown</t>
        </is>
      </c>
    </row>
    <row r="11">
      <c r="B11" s="10" t="inlineStr">
        <is>
          <t>8 · Embodied adder</t>
        </is>
      </c>
      <c r="C11" s="15" t="n">
        <v>0.25</v>
      </c>
      <c r="D11" s="12" t="inlineStr">
        <is>
          <t>Default 0.25 of location-based carbon; sensible range 0.10–0.50 (§4.6)</t>
        </is>
      </c>
    </row>
    <row r="12">
      <c r="B12" s="10" t="inlineStr">
        <is>
          <t>9 · Market-based CI (g CO2e/kWh) — optional</t>
        </is>
      </c>
      <c r="C12" s="13" t="n"/>
      <c r="D12" s="12" t="inlineStr">
        <is>
          <t>Leave blank unless your provider discloses a market-based factor; reported beside, never instead of, location-based (P6)</t>
        </is>
      </c>
    </row>
    <row r="13">
      <c r="B13" s="10" t="inlineStr">
        <is>
          <t>10 · Cached input share (0–1) — optional</t>
        </is>
      </c>
      <c r="C13" s="15" t="n">
        <v>0</v>
      </c>
      <c r="D13" s="12" t="inlineStr">
        <is>
          <t>Share of input tokens served from a prompt cache. Cache hits skip prefill, so those tokens carry no energy. Output tokens are never cached (§4.1).</t>
        </is>
      </c>
    </row>
    <row r="14">
      <c r="B14" s="8" t="inlineStr">
        <is>
          <t>FRUGALITY CHECK (§5.3) — three auditable Yes/No questions</t>
        </is>
      </c>
      <c r="C14" s="9" t="n"/>
      <c r="D14" s="9" t="n"/>
      <c r="E14" s="9" t="n"/>
      <c r="F14" s="9" t="n"/>
    </row>
    <row r="15">
      <c r="B15" s="10" t="inlineStr">
        <is>
          <t>Q1 · Necessity — does the task need generative AI at all (vs. search, template, rules, or a human)?</t>
        </is>
      </c>
      <c r="C15" s="11" t="inlineStr">
        <is>
          <t>Yes</t>
        </is>
      </c>
      <c r="D15" s="12" t="inlineStr"/>
    </row>
    <row r="16">
      <c r="B16" s="10" t="inlineStr">
        <is>
          <t>Q2 · Right-sizing — has a model ≥1 capability class smaller been evaluated on this task, with documented quality results?</t>
        </is>
      </c>
      <c r="C16" s="11" t="inlineStr">
        <is>
          <t>Yes</t>
        </is>
      </c>
      <c r="D16" s="12" t="inlineStr"/>
    </row>
    <row r="17">
      <c r="B17" s="10" t="inlineStr">
        <is>
          <t>Q3 · Token discipline — are prompts, retrieval payloads and reasoning budgets bounded (max-token / thinking caps, caching)?</t>
        </is>
      </c>
      <c r="C17" s="11" t="inlineStr">
        <is>
          <t>Yes</t>
        </is>
      </c>
      <c r="D17" s="12" t="inlineStr"/>
    </row>
    <row r="19">
      <c r="B19" s="8" t="inlineStr">
        <is>
          <t>RESULTS — computed on the Engine sheet; do not edit</t>
        </is>
      </c>
      <c r="C19" s="9" t="n"/>
      <c r="D19" s="9" t="n"/>
      <c r="E19" s="9" t="n"/>
      <c r="F19" s="9" t="n"/>
    </row>
    <row r="20">
      <c r="B20" s="16" t="inlineStr">
        <is>
          <t>Metric</t>
        </is>
      </c>
      <c r="C20" s="16" t="inlineStr">
        <is>
          <t>Low</t>
        </is>
      </c>
      <c r="D20" s="16" t="inlineStr">
        <is>
          <t>Central</t>
        </is>
      </c>
      <c r="E20" s="16" t="inlineStr">
        <is>
          <t>High</t>
        </is>
      </c>
      <c r="F20" s="16" t="inlineStr">
        <is>
          <t>Unit / note</t>
        </is>
      </c>
    </row>
    <row r="21">
      <c r="B21" s="10" t="inlineStr">
        <is>
          <t>Energy per request</t>
        </is>
      </c>
      <c r="C21" s="17">
        <f>Engine!$B$48</f>
        <v/>
      </c>
      <c r="D21" s="17">
        <f>Engine!$B$39</f>
        <v/>
      </c>
      <c r="E21" s="17">
        <f>Engine!$B$49</f>
        <v/>
      </c>
      <c r="F21" s="18" t="inlineStr">
        <is>
          <t>Wh / request (full-stack: IT × PUE)</t>
        </is>
      </c>
    </row>
    <row r="22">
      <c r="B22" s="10" t="inlineStr">
        <is>
          <t>Energy per month</t>
        </is>
      </c>
      <c r="C22" s="19">
        <f>Engine!$B$50</f>
        <v/>
      </c>
      <c r="D22" s="19">
        <f>Engine!$B$41</f>
        <v/>
      </c>
      <c r="E22" s="19">
        <f>Engine!$B$51</f>
        <v/>
      </c>
      <c r="F22" s="18" t="inlineStr">
        <is>
          <t>kWh / month</t>
        </is>
      </c>
    </row>
    <row r="23">
      <c r="B23" s="10" t="inlineStr">
        <is>
          <t>Carbon — location-based</t>
        </is>
      </c>
      <c r="C23" s="19">
        <f>Engine!$B$52</f>
        <v/>
      </c>
      <c r="D23" s="19">
        <f>Engine!$B$42</f>
        <v/>
      </c>
      <c r="E23" s="19">
        <f>Engine!$B$53</f>
        <v/>
      </c>
      <c r="F23" s="18" t="inlineStr">
        <is>
          <t>kg CO2e / month (physical grid mix)</t>
        </is>
      </c>
    </row>
    <row r="24">
      <c r="B24" s="10" t="inlineStr">
        <is>
          <t>Carbon — market-based</t>
        </is>
      </c>
      <c r="C24" s="19">
        <f>Engine!$B$58</f>
        <v/>
      </c>
      <c r="D24" s="19">
        <f>Engine!$B$43</f>
        <v/>
      </c>
      <c r="E24" s="19">
        <f>Engine!$B$59</f>
        <v/>
      </c>
      <c r="F24" s="18" t="inlineStr">
        <is>
          <t>kg CO2e / month — 'not provided' unless input 9 is set (P6)</t>
        </is>
      </c>
    </row>
    <row r="25">
      <c r="B25" s="10" t="inlineStr">
        <is>
          <t>Embodied carbon</t>
        </is>
      </c>
      <c r="C25" s="19">
        <f>Engine!$B$54</f>
        <v/>
      </c>
      <c r="D25" s="19">
        <f>Engine!$B$44</f>
        <v/>
      </c>
      <c r="E25" s="19">
        <f>Engine!$B$55</f>
        <v/>
      </c>
      <c r="F25" s="18" t="inlineStr">
        <is>
          <t>kg CO2e / month = location-based × adder (§4.6)</t>
        </is>
      </c>
    </row>
    <row r="26">
      <c r="B26" s="10" t="inlineStr">
        <is>
          <t>Water (on-site + off-site)</t>
        </is>
      </c>
      <c r="C26" s="20">
        <f>Engine!$B$56</f>
        <v/>
      </c>
      <c r="D26" s="20">
        <f>Engine!$B$45</f>
        <v/>
      </c>
      <c r="E26" s="20">
        <f>Engine!$B$57</f>
        <v/>
      </c>
      <c r="F26" s="18" t="inlineStr">
        <is>
          <t>L / month (two-path model, §4.4)</t>
        </is>
      </c>
    </row>
    <row r="28">
      <c r="B28" s="10" t="inlineStr">
        <is>
          <t>EFFICIENCY GRADE — central Wh/request vs task-class bands (§5.2)</t>
        </is>
      </c>
      <c r="C28" s="21">
        <f>Engine!$B$62</f>
        <v/>
      </c>
      <c r="D28" s="22" t="n"/>
      <c r="E28" s="18" t="inlineStr">
        <is>
          <t>Frugality flag</t>
        </is>
      </c>
      <c r="F28" s="23">
        <f>Engine!$B$64</f>
        <v/>
      </c>
    </row>
    <row r="29">
      <c r="C29" s="22" t="n"/>
      <c r="D29" s="22" t="n"/>
      <c r="E29" s="18" t="inlineStr">
        <is>
          <t>Model data tier</t>
        </is>
      </c>
      <c r="F29" s="24">
        <f>Engine!$B$23</f>
        <v/>
      </c>
    </row>
    <row r="31" ht="30" customHeight="1">
      <c r="B31" s="10" t="inlineStr">
        <is>
          <t>GUIDANCE (§5.4 — grade × flag)</t>
        </is>
      </c>
      <c r="C31" s="25">
        <f>Engine!$B$65</f>
        <v/>
      </c>
      <c r="D31" s="22" t="n"/>
      <c r="E31" s="22" t="n"/>
      <c r="F31" s="22" t="n"/>
    </row>
    <row r="33">
      <c r="B33" s="8" t="inlineStr">
        <is>
          <t>REAL-WORLD EQUIVALENTS — communication aids, not results (sourced factors on Engine sheet)</t>
        </is>
      </c>
      <c r="C33" s="9" t="n"/>
      <c r="D33" s="9" t="n"/>
      <c r="E33" s="9" t="n"/>
      <c r="F33" s="9" t="n"/>
    </row>
    <row r="34">
      <c r="B34" s="26" t="inlineStr">
        <is>
          <t>≈ Hours of a 10 W LED bulb</t>
        </is>
      </c>
      <c r="C34" s="27">
        <f>Engine!$B$74</f>
        <v/>
      </c>
      <c r="D34" s="28" t="inlineStr">
        <is>
          <t>hours / month</t>
        </is>
      </c>
    </row>
    <row r="35">
      <c r="B35" s="26" t="inlineStr">
        <is>
          <t>≈ Smartphone full charges</t>
        </is>
      </c>
      <c r="C35" s="27">
        <f>Engine!$B$75</f>
        <v/>
      </c>
      <c r="D35" s="28" t="inlineStr">
        <is>
          <t>charges / month</t>
        </is>
      </c>
    </row>
    <row r="36">
      <c r="B36" s="26" t="inlineStr">
        <is>
          <t>≈ Km driven in an average petrol car</t>
        </is>
      </c>
      <c r="C36" s="27">
        <f>Engine!$B$76</f>
        <v/>
      </c>
      <c r="D36" s="28" t="inlineStr">
        <is>
          <t>km / month</t>
        </is>
      </c>
    </row>
    <row r="37">
      <c r="B37" s="26" t="inlineStr">
        <is>
          <t>≈ 8-minute showers</t>
        </is>
      </c>
      <c r="C37" s="27">
        <f>Engine!$B$79</f>
        <v/>
      </c>
      <c r="D37" s="28" t="inlineStr">
        <is>
          <t>showers / month</t>
        </is>
      </c>
    </row>
  </sheetData>
  <mergeCells count="15">
    <mergeCell ref="D11:F11"/>
    <mergeCell ref="D13:F13"/>
    <mergeCell ref="C28:D29"/>
    <mergeCell ref="D5:F5"/>
    <mergeCell ref="C31:F31"/>
    <mergeCell ref="D4:F4"/>
    <mergeCell ref="D12:F12"/>
    <mergeCell ref="D9:F9"/>
    <mergeCell ref="D17:F17"/>
    <mergeCell ref="D7:F7"/>
    <mergeCell ref="D8:F8"/>
    <mergeCell ref="D6:F6"/>
    <mergeCell ref="D15:F15"/>
    <mergeCell ref="D16:F16"/>
    <mergeCell ref="D10:F10"/>
  </mergeCells>
  <conditionalFormatting sqref="C28:D29">
    <cfRule type="cellIs" priority="1" operator="equal" dxfId="0">
      <formula>"A"</formula>
    </cfRule>
    <cfRule type="cellIs" priority="2" operator="equal" dxfId="1">
      <formula>"B"</formula>
    </cfRule>
    <cfRule type="cellIs" priority="3" operator="equal" dxfId="2">
      <formula>"C"</formula>
    </cfRule>
    <cfRule type="cellIs" priority="4" operator="equal" dxfId="3">
      <formula>"D"</formula>
    </cfRule>
    <cfRule type="cellIs" priority="5" operator="equal" dxfId="4">
      <formula>"E"</formula>
    </cfRule>
  </conditionalFormatting>
  <dataValidations count="7">
    <dataValidation sqref="C4" showDropDown="0" showInputMessage="0" showErrorMessage="0" allowBlank="1" type="list">
      <formula1>='Model Database'!$A$2:$A$136</formula1>
    </dataValidation>
    <dataValidation sqref="C5" showDropDown="0" showInputMessage="0" showErrorMessage="0" allowBlank="1" type="list">
      <formula1>=Grading!$A$2:$A$5</formula1>
    </dataValidation>
    <dataValidation sqref="C9" showDropDown="0" showInputMessage="0" showErrorMessage="0" allowBlank="1" type="list">
      <formula1>='Facility Profiles'!$A$2:$A$6</formula1>
    </dataValidation>
    <dataValidation sqref="C10" showDropDown="0" showInputMessage="0" showErrorMessage="0" allowBlank="1" type="list">
      <formula1>='Region Factors'!$A$2:$A$21</formula1>
    </dataValidation>
    <dataValidation sqref="C15:C17" showDropDown="0" showInputMessage="0" showErrorMessage="0" allowBlank="1" type="list">
      <formula1>"Yes,No"</formula1>
    </dataValidation>
    <dataValidation sqref="C11" showDropDown="0" showInputMessage="0" showErrorMessage="1" allowBlank="1" errorTitle="Embodied adder" error="Use a value between 0.10 and 0.50 (§4.6)" type="decimal" operator="between">
      <formula1>0.1</formula1>
      <formula2>0.5</formula2>
    </dataValidation>
    <dataValidation sqref="C13" showDropDown="0" showInputMessage="0" showErrorMessage="1" allowBlank="1" errorTitle="Cached input share" error="Use a share between 0 and 1 (0 = no caching)" type="decimal" operator="between">
      <formula1>0</formula1>
      <formula2>1</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9"/>
  <sheetViews>
    <sheetView showGridLines="0" workbookViewId="0">
      <pane ySplit="3" topLeftCell="A4" activePane="bottomLeft" state="frozen"/>
      <selection pane="bottomLeft" activeCell="A1" sqref="A1"/>
    </sheetView>
  </sheetViews>
  <sheetFormatPr baseColWidth="8" defaultRowHeight="15"/>
  <cols>
    <col width="46" customWidth="1" min="1" max="1"/>
    <col width="16" customWidth="1" min="2" max="2"/>
    <col width="22" customWidth="1" min="3" max="3"/>
    <col width="95" customWidth="1" min="4" max="4"/>
  </cols>
  <sheetData>
    <row r="1">
      <c r="A1" s="7" t="inlineStr">
        <is>
          <t>GAIA 2.0 Engine — every intermediate calculation, documented</t>
        </is>
      </c>
    </row>
    <row r="2">
      <c r="A2" s="2" t="inlineStr">
        <is>
          <t>All Assessment results reference this sheet. Column D documents each formula in framework notation (FRAMEWORK.md §4–§5). Generated — do not edit.</t>
        </is>
      </c>
    </row>
    <row r="4">
      <c r="A4" s="29" t="inlineStr">
        <is>
          <t>1 · INPUTS (echoed from the Assessment sheet)</t>
        </is>
      </c>
      <c r="B4" s="30" t="n"/>
      <c r="C4" s="30" t="n"/>
      <c r="D4" s="30" t="n"/>
    </row>
    <row r="5">
      <c r="A5" s="10" t="inlineStr">
        <is>
          <t>Model</t>
        </is>
      </c>
      <c r="B5" s="31">
        <f>IF(Assessment!$C$4="","",Assessment!$C$4)</f>
        <v/>
      </c>
      <c r="C5" s="18" t="inlineStr"/>
      <c r="D5" s="18" t="inlineStr">
        <is>
          <t>Assessment input 1</t>
        </is>
      </c>
    </row>
    <row r="6">
      <c r="A6" s="10" t="inlineStr">
        <is>
          <t>Task class</t>
        </is>
      </c>
      <c r="B6" s="31">
        <f>IF(Assessment!$C$5="","",Assessment!$C$5)</f>
        <v/>
      </c>
      <c r="C6" s="18" t="inlineStr"/>
      <c r="D6" s="18" t="inlineStr">
        <is>
          <t>Assessment input 2</t>
        </is>
      </c>
    </row>
    <row r="7">
      <c r="A7" s="10" t="inlineStr">
        <is>
          <t>Tokens in per request (T_in)</t>
        </is>
      </c>
      <c r="B7" s="31">
        <f>Assessment!$C$6</f>
        <v/>
      </c>
      <c r="C7" s="18" t="inlineStr">
        <is>
          <t>tokens</t>
        </is>
      </c>
      <c r="D7" s="18" t="inlineStr">
        <is>
          <t>Assessment input 3</t>
        </is>
      </c>
    </row>
    <row r="8">
      <c r="A8" s="10" t="inlineStr">
        <is>
          <t>Tokens out per request (T_out)</t>
        </is>
      </c>
      <c r="B8" s="31">
        <f>Assessment!$C$7</f>
        <v/>
      </c>
      <c r="C8" s="18" t="inlineStr">
        <is>
          <t>tokens</t>
        </is>
      </c>
      <c r="D8" s="18" t="inlineStr">
        <is>
          <t>Assessment input 4</t>
        </is>
      </c>
    </row>
    <row r="9">
      <c r="A9" s="10" t="inlineStr">
        <is>
          <t>Queries per month (Q_month)</t>
        </is>
      </c>
      <c r="B9" s="31">
        <f>Assessment!$C$8</f>
        <v/>
      </c>
      <c r="C9" s="18" t="inlineStr">
        <is>
          <t>requests</t>
        </is>
      </c>
      <c r="D9" s="18" t="inlineStr">
        <is>
          <t>Assessment input 5</t>
        </is>
      </c>
    </row>
    <row r="10">
      <c r="A10" s="10" t="inlineStr">
        <is>
          <t>Facility profile</t>
        </is>
      </c>
      <c r="B10" s="31">
        <f>IF(Assessment!$C$9="","",Assessment!$C$9)</f>
        <v/>
      </c>
      <c r="C10" s="18" t="inlineStr"/>
      <c r="D10" s="18" t="inlineStr">
        <is>
          <t>Assessment input 6</t>
        </is>
      </c>
    </row>
    <row r="11">
      <c r="A11" s="10" t="inlineStr">
        <is>
          <t>Hosting region</t>
        </is>
      </c>
      <c r="B11" s="31">
        <f>IF(Assessment!$C$10="","",Assessment!$C$10)</f>
        <v/>
      </c>
      <c r="C11" s="18" t="inlineStr"/>
      <c r="D11" s="18" t="inlineStr">
        <is>
          <t>Assessment input 7</t>
        </is>
      </c>
    </row>
    <row r="12">
      <c r="A12" s="10" t="inlineStr">
        <is>
          <t>Embodied adder</t>
        </is>
      </c>
      <c r="B12" s="31">
        <f>Assessment!$C$11</f>
        <v/>
      </c>
      <c r="C12" s="18" t="inlineStr">
        <is>
          <t>fraction</t>
        </is>
      </c>
      <c r="D12" s="18" t="inlineStr">
        <is>
          <t>Assessment input 8 (default 0.25; range 0.10–0.50, §4.6)</t>
        </is>
      </c>
    </row>
    <row r="13">
      <c r="A13" s="10" t="inlineStr">
        <is>
          <t>Market-based CI (optional)</t>
        </is>
      </c>
      <c r="B13" s="31">
        <f>IF(Assessment!$C$12="","",Assessment!$C$12)</f>
        <v/>
      </c>
      <c r="C13" s="18" t="inlineStr">
        <is>
          <t>g CO2e/kWh</t>
        </is>
      </c>
      <c r="D13" s="18" t="inlineStr">
        <is>
          <t>Assessment input 9; blank = not provided (P6)</t>
        </is>
      </c>
    </row>
    <row r="14">
      <c r="A14" s="10" t="inlineStr">
        <is>
          <t>Cached input share</t>
        </is>
      </c>
      <c r="B14" s="31">
        <f>IF(Assessment!$C$13="",0,Assessment!$C$13)</f>
        <v/>
      </c>
      <c r="C14" s="18" t="inlineStr">
        <is>
          <t>fraction 0–1</t>
        </is>
      </c>
      <c r="D14" s="18" t="inlineStr">
        <is>
          <t>Assessment input 10; share of input tokens served from a prompt cache. Cache hits skip prefill recomputation, so those tokens carry no generation energy. Output tokens are never cached (§4.1).</t>
        </is>
      </c>
    </row>
    <row r="15">
      <c r="A15" s="10" t="inlineStr">
        <is>
          <t>Frugality Q1 — necessity</t>
        </is>
      </c>
      <c r="B15" s="31">
        <f>IF(Assessment!$C$15="","",Assessment!$C$15)</f>
        <v/>
      </c>
      <c r="C15" s="18" t="inlineStr"/>
      <c r="D15" s="18" t="inlineStr">
        <is>
          <t>Yes/No</t>
        </is>
      </c>
    </row>
    <row r="16">
      <c r="A16" s="10" t="inlineStr">
        <is>
          <t>Frugality Q2 — right-sizing</t>
        </is>
      </c>
      <c r="B16" s="31">
        <f>IF(Assessment!$C$16="","",Assessment!$C$16)</f>
        <v/>
      </c>
      <c r="C16" s="18" t="inlineStr"/>
      <c r="D16" s="18" t="inlineStr">
        <is>
          <t>Yes/No</t>
        </is>
      </c>
    </row>
    <row r="17">
      <c r="A17" s="10" t="inlineStr">
        <is>
          <t>Frugality Q3 — token discipline</t>
        </is>
      </c>
      <c r="B17" s="31">
        <f>IF(Assessment!$C$17="","",Assessment!$C$17)</f>
        <v/>
      </c>
      <c r="C17" s="18" t="inlineStr"/>
      <c r="D17" s="18" t="inlineStr">
        <is>
          <t>Yes/No</t>
        </is>
      </c>
    </row>
    <row r="19">
      <c r="A19" s="29" t="inlineStr">
        <is>
          <t>2 · LOOKED-UP FACTORS (INDEX/MATCH against the data sheets)</t>
        </is>
      </c>
      <c r="B19" s="30" t="n"/>
      <c r="C19" s="30" t="n"/>
      <c r="D19" s="30" t="n"/>
    </row>
    <row r="20">
      <c r="A20" s="10" t="inlineStr">
        <is>
          <t>e_out — model energy, central</t>
        </is>
      </c>
      <c r="B20" s="17">
        <f>IFERROR(INDEX('Model Database'!$L$2:$L$136,MATCH($B$5,'Model Database'!$A$2:$A$136,0)),"")</f>
        <v/>
      </c>
      <c r="C20" s="18" t="inlineStr">
        <is>
          <t>Wh / 1k output tokens</t>
        </is>
      </c>
      <c r="D20" s="18" t="inlineStr">
        <is>
          <t>models.csv wh_per_1k_output_tokens_it — IT boundary (accelerator + host); serving-stack multiplier S already included</t>
        </is>
      </c>
    </row>
    <row r="21">
      <c r="A21" s="10" t="inlineStr">
        <is>
          <t>e_out low bound</t>
        </is>
      </c>
      <c r="B21" s="17">
        <f>IFERROR(INDEX('Model Database'!$M$2:$M$136,MATCH($B$5,'Model Database'!$A$2:$A$136,0)),"")</f>
        <v/>
      </c>
      <c r="C21" s="18" t="inlineStr">
        <is>
          <t>Wh / 1k output tokens</t>
        </is>
      </c>
      <c r="D21" s="18" t="inlineStr">
        <is>
          <t>models.csv wh_low (tier band = default minimum width; some rows are wider with justification in their basis column)</t>
        </is>
      </c>
    </row>
    <row r="22">
      <c r="A22" s="10" t="inlineStr">
        <is>
          <t>e_out high bound</t>
        </is>
      </c>
      <c r="B22" s="17">
        <f>IFERROR(INDEX('Model Database'!$N$2:$N$136,MATCH($B$5,'Model Database'!$A$2:$A$136,0)),"")</f>
        <v/>
      </c>
      <c r="C22" s="18" t="inlineStr">
        <is>
          <t>Wh / 1k output tokens</t>
        </is>
      </c>
      <c r="D22" s="18" t="inlineStr">
        <is>
          <t>models.csv wh_high (tier band = default minimum width; some rows are wider with justification in their basis column)</t>
        </is>
      </c>
    </row>
    <row r="23">
      <c r="A23" s="10" t="inlineStr">
        <is>
          <t>Data-quality tier of model row</t>
        </is>
      </c>
      <c r="B23" s="31">
        <f>IFERROR(INDEX('Model Database'!$O$2:$O$136,MATCH($B$5,'Model Database'!$A$2:$A$136,0)),"")</f>
        <v/>
      </c>
      <c r="C23" s="18" t="inlineStr"/>
      <c r="D23" s="18" t="inlineStr">
        <is>
          <t>T1 measured / T2 disclosed / T3 benchmarked / T4 modeled (§4.5)</t>
        </is>
      </c>
    </row>
    <row r="24">
      <c r="A24" s="10" t="inlineStr">
        <is>
          <t>Low scale factor</t>
        </is>
      </c>
      <c r="B24" s="19">
        <f>IFERROR($B$21/$B$20,"")</f>
        <v/>
      </c>
      <c r="C24" s="18" t="inlineStr">
        <is>
          <t>×</t>
        </is>
      </c>
      <c r="D24" s="18" t="inlineStr">
        <is>
          <t>wh_low / e_out — every output is scaled by this for the low bound</t>
        </is>
      </c>
    </row>
    <row r="25">
      <c r="A25" s="10" t="inlineStr">
        <is>
          <t>High scale factor</t>
        </is>
      </c>
      <c r="B25" s="19">
        <f>IFERROR($B$22/$B$20,"")</f>
        <v/>
      </c>
      <c r="C25" s="18" t="inlineStr">
        <is>
          <t>×</t>
        </is>
      </c>
      <c r="D25" s="18" t="inlineStr">
        <is>
          <t>wh_high / e_out — every output is scaled by this for the high bound</t>
        </is>
      </c>
    </row>
    <row r="26">
      <c r="A26" s="10" t="inlineStr">
        <is>
          <t>PUE — facility overhead</t>
        </is>
      </c>
      <c r="B26" s="32">
        <f>IFERROR(INDEX('Facility Profiles'!$B$2:$B$6,MATCH($B$10,'Facility Profiles'!$A$2:$A$6,0)),"")</f>
        <v/>
      </c>
      <c r="C26" s="18" t="inlineStr">
        <is>
          <t>×</t>
        </is>
      </c>
      <c r="D26" s="18" t="inlineStr">
        <is>
          <t>facilities.csv pue for the chosen profile</t>
        </is>
      </c>
    </row>
    <row r="27">
      <c r="A27" s="10" t="inlineStr">
        <is>
          <t>WUE — on-site water</t>
        </is>
      </c>
      <c r="B27" s="32">
        <f>IFERROR(INDEX('Facility Profiles'!$E$2:$E$6,MATCH($B$10,'Facility Profiles'!$A$2:$A$6,0)),"")</f>
        <v/>
      </c>
      <c r="C27" s="18" t="inlineStr">
        <is>
          <t>L/kWh (IT energy)</t>
        </is>
      </c>
      <c r="D27" s="18" t="inlineStr">
        <is>
          <t>facilities.csv wue_l_kwh for the chosen profile</t>
        </is>
      </c>
    </row>
    <row r="28">
      <c r="A28" s="10" t="inlineStr">
        <is>
          <t>CI — location-based grid carbon</t>
        </is>
      </c>
      <c r="B28" s="33">
        <f>IFERROR(INDEX('Region Factors'!$B$2:$B$21,MATCH($B$11,'Region Factors'!$A$2:$A$21,0)),"")</f>
        <v/>
      </c>
      <c r="C28" s="18" t="inlineStr">
        <is>
          <t>g CO2e/kWh</t>
        </is>
      </c>
      <c r="D28" s="18" t="inlineStr">
        <is>
          <t>regions.csv ci_location_gco2_kwh for the chosen region</t>
        </is>
      </c>
    </row>
    <row r="29">
      <c r="A29" s="10" t="inlineStr">
        <is>
          <t>EWIF — off-site water</t>
        </is>
      </c>
      <c r="B29" s="32">
        <f>IFERROR(INDEX('Region Factors'!$E$2:$E$21,MATCH($B$11,'Region Factors'!$A$2:$A$21,0)),"")</f>
        <v/>
      </c>
      <c r="C29" s="18" t="inlineStr">
        <is>
          <t>L/kWh (total energy)</t>
        </is>
      </c>
      <c r="D29" s="18" t="inlineStr">
        <is>
          <t>regions.csv ewif_l_kwh for the chosen region</t>
        </is>
      </c>
    </row>
    <row r="30">
      <c r="A30" s="10" t="inlineStr">
        <is>
          <t>Task-class default tokens in</t>
        </is>
      </c>
      <c r="B30" s="31">
        <f>IFERROR(INDEX(Grading!$C$2:$C$5,MATCH($B$6,Grading!$A$2:$A$5,0)),"")</f>
        <v/>
      </c>
      <c r="C30" s="18" t="inlineStr">
        <is>
          <t>tokens</t>
        </is>
      </c>
      <c r="D30" s="18" t="inlineStr">
        <is>
          <t>grading.csv tokens_in_default — reference for Assessment input 3</t>
        </is>
      </c>
    </row>
    <row r="31">
      <c r="A31" s="10" t="inlineStr">
        <is>
          <t>Task-class default tokens out</t>
        </is>
      </c>
      <c r="B31" s="31">
        <f>IFERROR(INDEX(Grading!$D$2:$D$5,MATCH($B$6,Grading!$A$2:$A$5,0)),"")</f>
        <v/>
      </c>
      <c r="C31" s="18" t="inlineStr">
        <is>
          <t>tokens</t>
        </is>
      </c>
      <c r="D31" s="18" t="inlineStr">
        <is>
          <t>grading.csv tokens_out_default — reference for Assessment input 4</t>
        </is>
      </c>
    </row>
    <row r="32">
      <c r="A32" s="10" t="inlineStr">
        <is>
          <t>Grade A maximum</t>
        </is>
      </c>
      <c r="B32" s="31">
        <f>IFERROR(INDEX(Grading!$E$2:$E$5,MATCH($B$6,Grading!$A$2:$A$5,0)),"")</f>
        <v/>
      </c>
      <c r="C32" s="18" t="inlineStr">
        <is>
          <t>Wh/request</t>
        </is>
      </c>
      <c r="D32" s="18" t="inlineStr">
        <is>
          <t>grading.csv grade_a_max_wh for the chosen task class</t>
        </is>
      </c>
    </row>
    <row r="33">
      <c r="A33" s="10" t="inlineStr">
        <is>
          <t>Grade B maximum</t>
        </is>
      </c>
      <c r="B33" s="31">
        <f>IFERROR(INDEX(Grading!$F$2:$F$5,MATCH($B$6,Grading!$A$2:$A$5,0)),"")</f>
        <v/>
      </c>
      <c r="C33" s="18" t="inlineStr">
        <is>
          <t>Wh/request</t>
        </is>
      </c>
      <c r="D33" s="18" t="inlineStr">
        <is>
          <t>grading.csv grade_b_max_wh</t>
        </is>
      </c>
    </row>
    <row r="34">
      <c r="A34" s="10" t="inlineStr">
        <is>
          <t>Grade C maximum</t>
        </is>
      </c>
      <c r="B34" s="31">
        <f>IFERROR(INDEX(Grading!$G$2:$G$5,MATCH($B$6,Grading!$A$2:$A$5,0)),"")</f>
        <v/>
      </c>
      <c r="C34" s="18" t="inlineStr">
        <is>
          <t>Wh/request</t>
        </is>
      </c>
      <c r="D34" s="18" t="inlineStr">
        <is>
          <t>grading.csv grade_c_max_wh</t>
        </is>
      </c>
    </row>
    <row r="35">
      <c r="A35" s="10" t="inlineStr">
        <is>
          <t>Grade D maximum</t>
        </is>
      </c>
      <c r="B35" s="31">
        <f>IFERROR(INDEX(Grading!$H$2:$H$5,MATCH($B$6,Grading!$A$2:$A$5,0)),"")</f>
        <v/>
      </c>
      <c r="C35" s="18" t="inlineStr">
        <is>
          <t>Wh/request</t>
        </is>
      </c>
      <c r="D35" s="18" t="inlineStr">
        <is>
          <t>grading.csv grade_d_max_wh; above this = grade E</t>
        </is>
      </c>
    </row>
    <row r="37">
      <c r="A37" s="29" t="inlineStr">
        <is>
          <t>3 · CENTRAL ESTIMATE (§4 equations)</t>
        </is>
      </c>
      <c r="B37" s="30" t="n"/>
      <c r="C37" s="30" t="n"/>
      <c r="D37" s="30" t="n"/>
    </row>
    <row r="38">
      <c r="A38" s="10" t="inlineStr">
        <is>
          <t>E_IT_request — IT energy per request</t>
        </is>
      </c>
      <c r="B38" s="17">
        <f>IFERROR($B$20*($B$8+$B$7*(1-$B$14)/10)/1000,"")</f>
        <v/>
      </c>
      <c r="C38" s="18" t="inlineStr">
        <is>
          <t>Wh</t>
        </is>
      </c>
      <c r="D38" s="18" t="inlineStr">
        <is>
          <t>E_IT = e_out × (T_out + T_in × (1 − c) / 10) / 1000 — input tokens cost ≈1/10 of output tokens (§4.1, k=10); c is the cached input share, whose tokens skip prefill entirely</t>
        </is>
      </c>
    </row>
    <row r="39">
      <c r="A39" s="10" t="inlineStr">
        <is>
          <t>E_request — full energy per request</t>
        </is>
      </c>
      <c r="B39" s="17">
        <f>IFERROR($B$38*$B$26,"")</f>
        <v/>
      </c>
      <c r="C39" s="18" t="inlineStr">
        <is>
          <t>Wh</t>
        </is>
      </c>
      <c r="D39" s="18" t="inlineStr">
        <is>
          <t>E_request = E_IT_request × PUE (§4.1; S is already inside e_out)</t>
        </is>
      </c>
    </row>
    <row r="40">
      <c r="A40" s="10" t="inlineStr">
        <is>
          <t>E_IT_month — monthly IT energy</t>
        </is>
      </c>
      <c r="B40" s="19">
        <f>IFERROR($B$38*$B$9/1000,"")</f>
        <v/>
      </c>
      <c r="C40" s="18" t="inlineStr">
        <is>
          <t>kWh</t>
        </is>
      </c>
      <c r="D40" s="18" t="inlineStr">
        <is>
          <t>E_IT_month = E_IT_request × Q_month / 1000</t>
        </is>
      </c>
    </row>
    <row r="41">
      <c r="A41" s="10" t="inlineStr">
        <is>
          <t>E_month — monthly total energy</t>
        </is>
      </c>
      <c r="B41" s="19">
        <f>IFERROR($B$39*$B$9/1000,"")</f>
        <v/>
      </c>
      <c r="C41" s="18" t="inlineStr">
        <is>
          <t>kWh</t>
        </is>
      </c>
      <c r="D41" s="18" t="inlineStr">
        <is>
          <t>E_month = E_request × Q_month / 1000 (§4.2)</t>
        </is>
      </c>
    </row>
    <row r="42">
      <c r="A42" s="10" t="inlineStr">
        <is>
          <t>Carbon, location-based</t>
        </is>
      </c>
      <c r="B42" s="19">
        <f>IFERROR($B$41*$B$28/1000,"")</f>
        <v/>
      </c>
      <c r="C42" s="18" t="inlineStr">
        <is>
          <t>kg CO2e/month</t>
        </is>
      </c>
      <c r="D42" s="18" t="inlineStr">
        <is>
          <t>C_op(location) = E_month × CI_location / 1000 (§4.3)</t>
        </is>
      </c>
    </row>
    <row r="43">
      <c r="A43" s="10" t="inlineStr">
        <is>
          <t>Carbon, market-based</t>
        </is>
      </c>
      <c r="B43" s="31">
        <f>IF(OR($B$13="",NOT(ISNUMBER($B$13))),"not provided",IFERROR($B$41*$B$13/1000,""))</f>
        <v/>
      </c>
      <c r="C43" s="18" t="inlineStr">
        <is>
          <t>kg CO2e/month</t>
        </is>
      </c>
      <c r="D43" s="18" t="inlineStr">
        <is>
          <t>C_op(market) = E_month × CI_market / 1000 — ONLY if a numeric market CI is supplied; never blended with location-based (P6)</t>
        </is>
      </c>
    </row>
    <row r="44">
      <c r="A44" s="10" t="inlineStr">
        <is>
          <t>Embodied carbon</t>
        </is>
      </c>
      <c r="B44" s="19">
        <f>IFERROR($B$42*$B$12,"")</f>
        <v/>
      </c>
      <c r="C44" s="18" t="inlineStr">
        <is>
          <t>kg CO2e/month</t>
        </is>
      </c>
      <c r="D44" s="18" t="inlineStr">
        <is>
          <t>C_embodied = C_op(location) × embodied_adder (§4.6; default 0.25)</t>
        </is>
      </c>
    </row>
    <row r="45">
      <c r="A45" s="10" t="inlineStr">
        <is>
          <t>Water (two-path)</t>
        </is>
      </c>
      <c r="B45" s="20">
        <f>IFERROR($B$40*$B$27+$B$41*$B$29,"")</f>
        <v/>
      </c>
      <c r="C45" s="18" t="inlineStr">
        <is>
          <t>L/month</t>
        </is>
      </c>
      <c r="D45" s="18" t="inlineStr">
        <is>
          <t>W = E_IT_month × WUE + E_month × EWIF (§4.4, Li et al. two-path model)</t>
        </is>
      </c>
    </row>
    <row r="47">
      <c r="A47" s="29" t="inlineStr">
        <is>
          <t>4 · LOW / HIGH BOUNDS (energy-dominated; factor uncertainty adds beyond this)</t>
        </is>
      </c>
      <c r="B47" s="30" t="n"/>
      <c r="C47" s="30" t="n"/>
      <c r="D47" s="30" t="n"/>
    </row>
    <row r="48">
      <c r="A48" s="10" t="inlineStr">
        <is>
          <t>Energy per request — LOW</t>
        </is>
      </c>
      <c r="B48" s="17">
        <f>IFERROR($B$39*$B$24,"")</f>
        <v/>
      </c>
      <c r="C48" s="18" t="inlineStr">
        <is>
          <t>Wh</t>
        </is>
      </c>
      <c r="D48" s="18" t="inlineStr">
        <is>
          <t>central × (wh_low / e_out)</t>
        </is>
      </c>
    </row>
    <row r="49">
      <c r="A49" s="10" t="inlineStr">
        <is>
          <t>Energy per request — HIGH</t>
        </is>
      </c>
      <c r="B49" s="17">
        <f>IFERROR($B$39*$B$25,"")</f>
        <v/>
      </c>
      <c r="C49" s="18" t="inlineStr">
        <is>
          <t>Wh</t>
        </is>
      </c>
      <c r="D49" s="18" t="inlineStr">
        <is>
          <t>central × (wh_high / e_out)</t>
        </is>
      </c>
    </row>
    <row r="50">
      <c r="A50" s="10" t="inlineStr">
        <is>
          <t>Monthly energy — LOW</t>
        </is>
      </c>
      <c r="B50" s="19">
        <f>IFERROR($B$41*$B$24,"")</f>
        <v/>
      </c>
      <c r="C50" s="18" t="inlineStr">
        <is>
          <t>kWh</t>
        </is>
      </c>
      <c r="D50" s="18" t="inlineStr">
        <is>
          <t>central × (wh_low / e_out)</t>
        </is>
      </c>
    </row>
    <row r="51">
      <c r="A51" s="10" t="inlineStr">
        <is>
          <t>Monthly energy — HIGH</t>
        </is>
      </c>
      <c r="B51" s="19">
        <f>IFERROR($B$41*$B$25,"")</f>
        <v/>
      </c>
      <c r="C51" s="18" t="inlineStr">
        <is>
          <t>kWh</t>
        </is>
      </c>
      <c r="D51" s="18" t="inlineStr">
        <is>
          <t>central × (wh_high / e_out)</t>
        </is>
      </c>
    </row>
    <row r="52">
      <c r="A52" s="10" t="inlineStr">
        <is>
          <t>Carbon, location-based — LOW</t>
        </is>
      </c>
      <c r="B52" s="19">
        <f>IFERROR($B$42*$B$24,"")</f>
        <v/>
      </c>
      <c r="C52" s="18" t="inlineStr">
        <is>
          <t>kg CO2e/month</t>
        </is>
      </c>
      <c r="D52" s="18" t="inlineStr">
        <is>
          <t>central × (wh_low / e_out)</t>
        </is>
      </c>
    </row>
    <row r="53">
      <c r="A53" s="10" t="inlineStr">
        <is>
          <t>Carbon, location-based — HIGH</t>
        </is>
      </c>
      <c r="B53" s="19">
        <f>IFERROR($B$42*$B$25,"")</f>
        <v/>
      </c>
      <c r="C53" s="18" t="inlineStr">
        <is>
          <t>kg CO2e/month</t>
        </is>
      </c>
      <c r="D53" s="18" t="inlineStr">
        <is>
          <t>central × (wh_high / e_out)</t>
        </is>
      </c>
    </row>
    <row r="54">
      <c r="A54" s="10" t="inlineStr">
        <is>
          <t>Embodied carbon — LOW</t>
        </is>
      </c>
      <c r="B54" s="31">
        <f>IFERROR($B$44*$B$24,"")</f>
        <v/>
      </c>
      <c r="C54" s="18" t="inlineStr">
        <is>
          <t>kg CO2e/month</t>
        </is>
      </c>
      <c r="D54" s="18" t="inlineStr">
        <is>
          <t>central × (wh_low / e_out)</t>
        </is>
      </c>
    </row>
    <row r="55">
      <c r="A55" s="10" t="inlineStr">
        <is>
          <t>Embodied carbon — HIGH</t>
        </is>
      </c>
      <c r="B55" s="31">
        <f>IFERROR($B$44*$B$25,"")</f>
        <v/>
      </c>
      <c r="C55" s="18" t="inlineStr">
        <is>
          <t>kg CO2e/month</t>
        </is>
      </c>
      <c r="D55" s="18" t="inlineStr">
        <is>
          <t>central × (wh_high / e_out)</t>
        </is>
      </c>
    </row>
    <row r="56">
      <c r="A56" s="10" t="inlineStr">
        <is>
          <t>Water — LOW</t>
        </is>
      </c>
      <c r="B56" s="20">
        <f>IFERROR($B$45*$B$24,"")</f>
        <v/>
      </c>
      <c r="C56" s="18" t="inlineStr">
        <is>
          <t>L/month</t>
        </is>
      </c>
      <c r="D56" s="18" t="inlineStr">
        <is>
          <t>central × (wh_low / e_out)</t>
        </is>
      </c>
    </row>
    <row r="57">
      <c r="A57" s="10" t="inlineStr">
        <is>
          <t>Water — HIGH</t>
        </is>
      </c>
      <c r="B57" s="20">
        <f>IFERROR($B$45*$B$25,"")</f>
        <v/>
      </c>
      <c r="C57" s="18" t="inlineStr">
        <is>
          <t>L/month</t>
        </is>
      </c>
      <c r="D57" s="18" t="inlineStr">
        <is>
          <t>central × (wh_high / e_out)</t>
        </is>
      </c>
    </row>
    <row r="58">
      <c r="A58" s="10" t="inlineStr">
        <is>
          <t>Carbon, market-based — LOW</t>
        </is>
      </c>
      <c r="B58" s="31">
        <f>IF(OR($B$13="",NOT(ISNUMBER($B$13))),"not provided",IFERROR($B$43*$B$24,""))</f>
        <v/>
      </c>
      <c r="C58" s="18" t="inlineStr">
        <is>
          <t>kg CO2e/month</t>
        </is>
      </c>
      <c r="D58" s="18" t="inlineStr">
        <is>
          <t>central × (wh_low / e_out); 'not provided' without a numeric market CI</t>
        </is>
      </c>
    </row>
    <row r="59">
      <c r="A59" s="10" t="inlineStr">
        <is>
          <t>Carbon, market-based — HIGH</t>
        </is>
      </c>
      <c r="B59" s="31">
        <f>IF(OR($B$13="",NOT(ISNUMBER($B$13))),"not provided",IFERROR($B$43*$B$25,""))</f>
        <v/>
      </c>
      <c r="C59" s="18" t="inlineStr">
        <is>
          <t>kg CO2e/month</t>
        </is>
      </c>
      <c r="D59" s="18" t="inlineStr">
        <is>
          <t>central × (wh_high / e_out); 'not provided' without a numeric market CI</t>
        </is>
      </c>
    </row>
    <row r="61">
      <c r="A61" s="29" t="inlineStr">
        <is>
          <t>5 · GRADE, FRUGALITY FLAG, GUIDANCE (§5)</t>
        </is>
      </c>
      <c r="B61" s="30" t="n"/>
      <c r="C61" s="30" t="n"/>
      <c r="D61" s="30" t="n"/>
    </row>
    <row r="62">
      <c r="A62" s="10" t="inlineStr">
        <is>
          <t>Efficiency grade</t>
        </is>
      </c>
      <c r="B62" s="31">
        <f>IF(OR($B$39="",NOT(ISNUMBER($B$32))),"",IF($B$39&lt;=$B$32,"A",IF($B$39&lt;=$B$33,"B",IF($B$39&lt;=$B$34,"C",IF($B$39&lt;=$B$35,"D","E")))))</f>
        <v/>
      </c>
      <c r="C62" s="18" t="inlineStr">
        <is>
          <t>A–E</t>
        </is>
      </c>
      <c r="D62" s="18" t="inlineStr">
        <is>
          <t>Central E_request vs task-class bands (§5.2); blank unless a valid task class is selected</t>
        </is>
      </c>
    </row>
    <row r="63">
      <c r="A63" s="10" t="inlineStr">
        <is>
          <t>Frugality — count of "No" answers</t>
        </is>
      </c>
      <c r="B63" s="31">
        <f>COUNTIF($B$15:$B$17,"No")</f>
        <v/>
      </c>
      <c r="C63" s="18" t="inlineStr">
        <is>
          <t>0–3</t>
        </is>
      </c>
      <c r="D63" s="18" t="inlineStr">
        <is>
          <t>Across Q1–Q3 (§5.3)</t>
        </is>
      </c>
    </row>
    <row r="64">
      <c r="A64" s="10" t="inlineStr">
        <is>
          <t>Frugality flag</t>
        </is>
      </c>
      <c r="B64" s="31">
        <f>IF($B$63=0,"F0",IF($B$63=1,"F1","F2+"))</f>
        <v/>
      </c>
      <c r="C64" s="18" t="inlineStr">
        <is>
          <t>F0/F1/F2+</t>
        </is>
      </c>
      <c r="D64" s="18" t="inlineStr">
        <is>
          <t>0 No → F0; 1 No → F1; ≥2 No → F2+ — reported BESIDE the grade, never combined into a composite score</t>
        </is>
      </c>
    </row>
    <row r="65">
      <c r="A65" s="10" t="inlineStr">
        <is>
          <t>Guidance</t>
        </is>
      </c>
      <c r="B65" s="31">
        <f>IF($B$62="","",IF($B$62="E","Re-architect: reasoning budgets, model routing, or task redesign before scale-up",IF(OR($B$62="A",$B$62="B"),IF($B$64="F0","Proceed; monitor quarterly","Efficient but wasteful by design — fix necessity/right-sizing first"),IF($B$64="F0","Justified heavy use — apply mitigation levers; set an intensity-reduction target","Priority for intervention"))))</f>
        <v/>
      </c>
      <c r="C65" s="18" t="inlineStr"/>
      <c r="D65" s="18" t="inlineStr">
        <is>
          <t>Grade × flag decision table (§5.4)</t>
        </is>
      </c>
    </row>
    <row r="67">
      <c r="A67" s="29" t="inlineStr">
        <is>
          <t>6 · REAL-WORLD EQUIVALENTS (communication aids — factors from data/equivalents.csv)</t>
        </is>
      </c>
      <c r="B67" s="30" t="n"/>
      <c r="C67" s="30" t="n"/>
      <c r="D67" s="30" t="n"/>
    </row>
    <row r="68">
      <c r="A68" s="10" t="inlineStr">
        <is>
          <t>Factor: Energy → hours of LED bulb (10 W) (per 1 kWh)</t>
        </is>
      </c>
      <c r="B68" s="31" t="n">
        <v>100</v>
      </c>
      <c r="C68" s="18" t="inlineStr"/>
      <c r="D68" s="18" t="inlineStr">
        <is>
          <t>Arithmetic: 1000 Wh / 10 W</t>
        </is>
      </c>
    </row>
    <row r="69">
      <c r="A69" s="10" t="inlineStr">
        <is>
          <t>Factor: Energy → km driven in an average EV (per 1 kWh)</t>
        </is>
      </c>
      <c r="B69" s="31" t="n">
        <v>5.9</v>
      </c>
      <c r="C69" s="18" t="inlineStr"/>
      <c r="D69" s="18" t="inlineStr">
        <is>
          <t>~0.17 kWh/km typical EV consumption (EPA/WLTP averages)</t>
        </is>
      </c>
    </row>
    <row r="70">
      <c r="A70" s="10" t="inlineStr">
        <is>
          <t>Factor: Energy → smartphone full charges (per 1 kWh)</t>
        </is>
      </c>
      <c r="B70" s="31" t="n">
        <v>80</v>
      </c>
      <c r="C70" s="18" t="inlineStr"/>
      <c r="D70" s="18" t="inlineStr">
        <is>
          <t>EPA GHG Equivalencies Calculator (~0.012 kWh/charge)</t>
        </is>
      </c>
    </row>
    <row r="71">
      <c r="A71" s="10" t="inlineStr">
        <is>
          <t>Factor: Carbon → km driven in an average petrol car (per 1 kg CO2e)</t>
        </is>
      </c>
      <c r="B71" s="31" t="n">
        <v>4</v>
      </c>
      <c r="C71" s="18" t="inlineStr"/>
      <c r="D71" s="18" t="inlineStr">
        <is>
          <t>EPA GHG Equivalencies Calculator (~400 g CO2e/mile = ~250 g/km)</t>
        </is>
      </c>
    </row>
    <row r="72">
      <c r="A72" s="10" t="inlineStr">
        <is>
          <t>Factor: Water → drinking glasses (250 mL) (per 1 L)</t>
        </is>
      </c>
      <c r="B72" s="31" t="n">
        <v>4</v>
      </c>
      <c r="C72" s="18" t="inlineStr"/>
      <c r="D72" s="18" t="inlineStr">
        <is>
          <t>Arithmetic</t>
        </is>
      </c>
    </row>
    <row r="73">
      <c r="A73" s="10" t="inlineStr">
        <is>
          <t>Factor: Water → 8-minute showers (per 1000 L)</t>
        </is>
      </c>
      <c r="B73" s="31" t="n">
        <v>15</v>
      </c>
      <c r="C73" s="18" t="inlineStr"/>
      <c r="D73" s="18" t="inlineStr">
        <is>
          <t>EPA WaterSense (~2.1 gpm showerhead = ~64 L/shower)</t>
        </is>
      </c>
    </row>
    <row r="74">
      <c r="A74" s="10" t="inlineStr">
        <is>
          <t>≈ Hours of a 10 W LED bulb</t>
        </is>
      </c>
      <c r="B74" s="27">
        <f>IFERROR($B$41*$B$68,"")</f>
        <v/>
      </c>
      <c r="C74" s="18" t="inlineStr">
        <is>
          <t>h/month</t>
        </is>
      </c>
      <c r="D74" s="18" t="inlineStr">
        <is>
          <t>E_month [kWh] × factor</t>
        </is>
      </c>
    </row>
    <row r="75">
      <c r="A75" s="10" t="inlineStr">
        <is>
          <t>≈ Smartphone full charges</t>
        </is>
      </c>
      <c r="B75" s="27">
        <f>IFERROR($B$41*$B$70,"")</f>
        <v/>
      </c>
      <c r="C75" s="18" t="inlineStr">
        <is>
          <t>charges/month</t>
        </is>
      </c>
      <c r="D75" s="18" t="inlineStr">
        <is>
          <t>E_month [kWh] × factor</t>
        </is>
      </c>
    </row>
    <row r="76">
      <c r="A76" s="10" t="inlineStr">
        <is>
          <t>≈ Km driven in an average petrol car</t>
        </is>
      </c>
      <c r="B76" s="27">
        <f>IFERROR($B$42*$B$71,"")</f>
        <v/>
      </c>
      <c r="C76" s="18" t="inlineStr">
        <is>
          <t>km/month</t>
        </is>
      </c>
      <c r="D76" s="18" t="inlineStr">
        <is>
          <t>C_op(location) [kg] × factor</t>
        </is>
      </c>
    </row>
    <row r="77">
      <c r="A77" s="10" t="inlineStr">
        <is>
          <t>≈ Km driven in an average EV</t>
        </is>
      </c>
      <c r="B77" s="31">
        <f>IFERROR($B$41*$B$69,"")</f>
        <v/>
      </c>
      <c r="C77" s="18" t="inlineStr">
        <is>
          <t>km/month</t>
        </is>
      </c>
      <c r="D77" s="18" t="inlineStr">
        <is>
          <t>E_month [kWh] × factor</t>
        </is>
      </c>
    </row>
    <row r="78">
      <c r="A78" s="10" t="inlineStr">
        <is>
          <t>≈ Drinking glasses (250 mL)</t>
        </is>
      </c>
      <c r="B78" s="31">
        <f>IFERROR($B$45*$B$72,"")</f>
        <v/>
      </c>
      <c r="C78" s="18" t="inlineStr">
        <is>
          <t>glasses/month</t>
        </is>
      </c>
      <c r="D78" s="18" t="inlineStr">
        <is>
          <t>Water [L] × factor</t>
        </is>
      </c>
    </row>
    <row r="79">
      <c r="A79" s="10" t="inlineStr">
        <is>
          <t>≈ 8-minute showers</t>
        </is>
      </c>
      <c r="B79" s="27">
        <f>IFERROR($B$45/1000*$B$73,"")</f>
        <v/>
      </c>
      <c r="C79" s="18" t="inlineStr">
        <is>
          <t>showers/month</t>
        </is>
      </c>
      <c r="D79" s="18" t="inlineStr">
        <is>
          <t>Water [L] / 1000 × factor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42"/>
  <sheetViews>
    <sheetView workbookViewId="0">
      <pane ySplit="1" topLeftCell="A2" activePane="bottomLeft" state="frozen"/>
      <selection pane="bottomLeft" activeCell="A1" sqref="A1"/>
    </sheetView>
  </sheetViews>
  <sheetFormatPr baseColWidth="8" defaultRowHeight="15"/>
  <cols>
    <col width="30" customWidth="1" min="1" max="1"/>
    <col width="13" customWidth="1" min="2" max="2"/>
    <col width="12" customWidth="1" min="3" max="3"/>
    <col width="22" customWidth="1" min="4" max="4"/>
    <col width="13" customWidth="1" min="5" max="5"/>
    <col width="13" customWidth="1" min="6" max="6"/>
    <col width="11" customWidth="1" min="7" max="7"/>
    <col width="11" customWidth="1" min="8" max="8"/>
    <col width="10" customWidth="1" min="9" max="9"/>
    <col width="10" customWidth="1" min="10" max="10"/>
    <col width="12" customWidth="1" min="11" max="11"/>
    <col width="16" customWidth="1" min="12" max="12"/>
    <col width="9" customWidth="1" min="13" max="13"/>
    <col width="9" customWidth="1" min="14" max="14"/>
    <col width="7" customWidth="1" min="15" max="15"/>
    <col width="9" customWidth="1" min="16" max="16"/>
    <col width="62" customWidth="1" min="17" max="17"/>
    <col width="46" customWidth="1" min="18" max="18"/>
    <col width="9" customWidth="1" min="19" max="19"/>
  </cols>
  <sheetData>
    <row r="1">
      <c r="A1" s="16" t="inlineStr">
        <is>
          <t>Model</t>
        </is>
      </c>
      <c r="B1" s="16" t="inlineStr">
        <is>
          <t>Provider</t>
        </is>
      </c>
      <c r="C1" s="16" t="inlineStr">
        <is>
          <t>Weights</t>
        </is>
      </c>
      <c r="D1" s="16" t="inlineStr">
        <is>
          <t>Licence</t>
        </is>
      </c>
      <c r="E1" s="16" t="inlineStr">
        <is>
          <t>Capability class</t>
        </is>
      </c>
      <c r="F1" s="16" t="inlineStr">
        <is>
          <t>Architecture</t>
        </is>
      </c>
      <c r="G1" s="16" t="inlineStr">
        <is>
          <t>Total params (B)</t>
        </is>
      </c>
      <c r="H1" s="16" t="inlineStr">
        <is>
          <t>Active params (B)</t>
        </is>
      </c>
      <c r="I1" s="16" t="inlineStr">
        <is>
          <t>Context</t>
        </is>
      </c>
      <c r="J1" s="16" t="inlineStr">
        <is>
          <t>Released</t>
        </is>
      </c>
      <c r="K1" s="16" t="inlineStr">
        <is>
          <t>Reasoning mode</t>
        </is>
      </c>
      <c r="L1" s="16" t="inlineStr">
        <is>
          <t>Wh per 1k output tokens (central, IT boundary)</t>
        </is>
      </c>
      <c r="M1" s="16" t="inlineStr">
        <is>
          <t>Low</t>
        </is>
      </c>
      <c r="N1" s="16" t="inlineStr">
        <is>
          <t>High</t>
        </is>
      </c>
      <c r="O1" s="16" t="inlineStr">
        <is>
          <t>Tier</t>
        </is>
      </c>
      <c r="P1" s="16" t="inlineStr">
        <is>
          <t>Vintage</t>
        </is>
      </c>
      <c r="Q1" s="16" t="inlineStr">
        <is>
          <t>Basis</t>
        </is>
      </c>
      <c r="R1" s="16" t="inlineStr">
        <is>
          <t>Source</t>
        </is>
      </c>
      <c r="S1" s="16" t="inlineStr">
        <is>
          <t>Status</t>
        </is>
      </c>
    </row>
    <row r="2">
      <c r="A2" s="26" t="inlineStr">
        <is>
          <t>GPT-6 Astra</t>
        </is>
      </c>
      <c r="B2" s="26" t="inlineStr">
        <is>
          <t>OpenAI</t>
        </is>
      </c>
      <c r="C2" s="26" t="inlineStr">
        <is>
          <t>Proprietary</t>
        </is>
      </c>
      <c r="D2" s="26" t="inlineStr">
        <is>
          <t>proprietary</t>
        </is>
      </c>
      <c r="E2" s="26" t="inlineStr">
        <is>
          <t>Frontier</t>
        </is>
      </c>
      <c r="F2" s="26" t="inlineStr">
        <is>
          <t>undisclosed</t>
        </is>
      </c>
      <c r="G2" s="34" t="inlineStr"/>
      <c r="H2" s="34" t="inlineStr"/>
      <c r="I2" s="26" t="inlineStr">
        <is>
          <t>1.05M</t>
        </is>
      </c>
      <c r="J2" s="26" t="inlineStr">
        <is>
          <t>2026-09-03</t>
        </is>
      </c>
      <c r="K2" s="26" t="inlineStr">
        <is>
          <t>always</t>
        </is>
      </c>
      <c r="L2" s="35" t="n">
        <v>1.2</v>
      </c>
      <c r="M2" s="35" t="n">
        <v>0.39</v>
      </c>
      <c r="N2" s="35" t="n">
        <v>3.6</v>
      </c>
      <c r="O2" s="36" t="inlineStr">
        <is>
          <t>T4</t>
        </is>
      </c>
      <c r="P2" s="26" t="inlineStr">
        <is>
          <t>2026-09-03</t>
        </is>
      </c>
      <c r="Q2" s="26" t="inlineStr">
        <is>
          <t>Class anchor for frontier closed-weight serving (§4.5): no parameter disclosure and no published per-request measurement, so the row carries the full T4 band. The ceiling for an API row is T2 and only the provider can lift it (§4.8). Reasoning cannot be disabled — every call incurs reasoning tokens, so use the Reasoning task class, whose token profile accounts for hidden thinking.</t>
        </is>
      </c>
      <c r="R2" s="26" t="inlineStr">
        <is>
          <t>OpenAI model documentation and release notes (developers.openai.com, openai.com), Sept 2026</t>
        </is>
      </c>
      <c r="S2" s="26" t="inlineStr">
        <is>
          <t>current</t>
        </is>
      </c>
    </row>
    <row r="3">
      <c r="A3" s="26" t="inlineStr">
        <is>
          <t>GPT-5.6 Sol</t>
        </is>
      </c>
      <c r="B3" s="26" t="inlineStr">
        <is>
          <t>OpenAI</t>
        </is>
      </c>
      <c r="C3" s="26" t="inlineStr">
        <is>
          <t>Proprietary</t>
        </is>
      </c>
      <c r="D3" s="26" t="inlineStr">
        <is>
          <t>proprietary</t>
        </is>
      </c>
      <c r="E3" s="26" t="inlineStr">
        <is>
          <t>Frontier</t>
        </is>
      </c>
      <c r="F3" s="26" t="inlineStr">
        <is>
          <t>undisclosed</t>
        </is>
      </c>
      <c r="G3" s="34" t="inlineStr"/>
      <c r="H3" s="34" t="inlineStr"/>
      <c r="I3" s="26" t="inlineStr">
        <is>
          <t>1.05M</t>
        </is>
      </c>
      <c r="J3" s="26" t="inlineStr">
        <is>
          <t>2026-07-09</t>
        </is>
      </c>
      <c r="K3" s="26" t="inlineStr">
        <is>
          <t>optional</t>
        </is>
      </c>
      <c r="L3" s="35" t="n">
        <v>1.2</v>
      </c>
      <c r="M3" s="35" t="n">
        <v>0.39</v>
      </c>
      <c r="N3" s="35" t="n">
        <v>3.6</v>
      </c>
      <c r="O3" s="36" t="inlineStr">
        <is>
          <t>T4</t>
        </is>
      </c>
      <c r="P3" s="26" t="inlineStr">
        <is>
          <t>2026-07-09</t>
        </is>
      </c>
      <c r="Q3" s="26" t="inlineStr">
        <is>
          <t>Class anchor for frontier closed-weight serving (§4.5): no parameter disclosure and no published per-request measurement, so the row carries the full T4 band. The ceiling for an API row is T2 and only the provider can lift it (§4.8).</t>
        </is>
      </c>
      <c r="R3" s="26" t="inlineStr">
        <is>
          <t>OpenAI model documentation and release notes (developers.openai.com, openai.com), Sept 2026</t>
        </is>
      </c>
      <c r="S3" s="26" t="inlineStr">
        <is>
          <t>current</t>
        </is>
      </c>
    </row>
    <row r="4">
      <c r="A4" s="26" t="inlineStr">
        <is>
          <t>GPT-5.6 Terra</t>
        </is>
      </c>
      <c r="B4" s="26" t="inlineStr">
        <is>
          <t>OpenAI</t>
        </is>
      </c>
      <c r="C4" s="26" t="inlineStr">
        <is>
          <t>Proprietary</t>
        </is>
      </c>
      <c r="D4" s="26" t="inlineStr">
        <is>
          <t>proprietary</t>
        </is>
      </c>
      <c r="E4" s="26" t="inlineStr">
        <is>
          <t>Mid</t>
        </is>
      </c>
      <c r="F4" s="26" t="inlineStr">
        <is>
          <t>undisclosed</t>
        </is>
      </c>
      <c r="G4" s="34" t="inlineStr"/>
      <c r="H4" s="34" t="inlineStr"/>
      <c r="I4" s="26" t="inlineStr">
        <is>
          <t>1.05M</t>
        </is>
      </c>
      <c r="J4" s="26" t="inlineStr">
        <is>
          <t>2026-07-09</t>
        </is>
      </c>
      <c r="K4" s="26" t="inlineStr">
        <is>
          <t>optional</t>
        </is>
      </c>
      <c r="L4" s="35" t="n">
        <v>0.3</v>
      </c>
      <c r="M4" s="35" t="n">
        <v>0.09</v>
      </c>
      <c r="N4" s="35" t="n">
        <v>0.9</v>
      </c>
      <c r="O4" s="36" t="inlineStr">
        <is>
          <t>T4</t>
        </is>
      </c>
      <c r="P4" s="26" t="inlineStr">
        <is>
          <t>2026-07-09</t>
        </is>
      </c>
      <c r="Q4" s="26" t="inlineStr">
        <is>
          <t>Class anchor for mid closed-weight serving (§4.5): no parameter disclosure and no published per-request measurement, so the row carries the full T4 band. The ceiling for an API row is T2 and only the provider can lift it (§4.8).</t>
        </is>
      </c>
      <c r="R4" s="26" t="inlineStr">
        <is>
          <t>OpenAI model documentation and release notes (developers.openai.com, openai.com), Sept 2026</t>
        </is>
      </c>
      <c r="S4" s="26" t="inlineStr">
        <is>
          <t>current</t>
        </is>
      </c>
    </row>
    <row r="5">
      <c r="A5" s="26" t="inlineStr">
        <is>
          <t>GPT-5.6 Luna</t>
        </is>
      </c>
      <c r="B5" s="26" t="inlineStr">
        <is>
          <t>OpenAI</t>
        </is>
      </c>
      <c r="C5" s="26" t="inlineStr">
        <is>
          <t>Proprietary</t>
        </is>
      </c>
      <c r="D5" s="26" t="inlineStr">
        <is>
          <t>proprietary</t>
        </is>
      </c>
      <c r="E5" s="26" t="inlineStr">
        <is>
          <t>Small</t>
        </is>
      </c>
      <c r="F5" s="26" t="inlineStr">
        <is>
          <t>undisclosed</t>
        </is>
      </c>
      <c r="G5" s="34" t="inlineStr"/>
      <c r="H5" s="34" t="inlineStr"/>
      <c r="I5" s="26" t="inlineStr">
        <is>
          <t>1.05M</t>
        </is>
      </c>
      <c r="J5" s="26" t="inlineStr">
        <is>
          <t>2026-07-09</t>
        </is>
      </c>
      <c r="K5" s="26" t="inlineStr">
        <is>
          <t>optional</t>
        </is>
      </c>
      <c r="L5" s="35" t="n">
        <v>0.12</v>
      </c>
      <c r="M5" s="35" t="n">
        <v>0.04</v>
      </c>
      <c r="N5" s="35" t="n">
        <v>0.36</v>
      </c>
      <c r="O5" s="36" t="inlineStr">
        <is>
          <t>T4</t>
        </is>
      </c>
      <c r="P5" s="26" t="inlineStr">
        <is>
          <t>2026-07-09</t>
        </is>
      </c>
      <c r="Q5" s="26" t="inlineStr">
        <is>
          <t>Class anchor for small closed-weight serving (§4.5): no parameter disclosure and no published per-request measurement, so the row carries the full T4 band. The ceiling for an API row is T2 and only the provider can lift it (§4.8).</t>
        </is>
      </c>
      <c r="R5" s="26" t="inlineStr">
        <is>
          <t>OpenAI model documentation and release notes (developers.openai.com, openai.com), Sept 2026</t>
        </is>
      </c>
      <c r="S5" s="26" t="inlineStr">
        <is>
          <t>current</t>
        </is>
      </c>
    </row>
    <row r="6">
      <c r="A6" s="26" t="inlineStr">
        <is>
          <t>GPT-5.5</t>
        </is>
      </c>
      <c r="B6" s="26" t="inlineStr">
        <is>
          <t>OpenAI</t>
        </is>
      </c>
      <c r="C6" s="26" t="inlineStr">
        <is>
          <t>Proprietary</t>
        </is>
      </c>
      <c r="D6" s="26" t="inlineStr">
        <is>
          <t>proprietary</t>
        </is>
      </c>
      <c r="E6" s="26" t="inlineStr">
        <is>
          <t>Frontier</t>
        </is>
      </c>
      <c r="F6" s="26" t="inlineStr">
        <is>
          <t>undisclosed</t>
        </is>
      </c>
      <c r="G6" s="34" t="inlineStr"/>
      <c r="H6" s="34" t="inlineStr"/>
      <c r="I6" s="26" t="inlineStr">
        <is>
          <t>1.05M</t>
        </is>
      </c>
      <c r="J6" s="26" t="inlineStr">
        <is>
          <t>2026-04-23</t>
        </is>
      </c>
      <c r="K6" s="26" t="inlineStr">
        <is>
          <t>optional</t>
        </is>
      </c>
      <c r="L6" s="35" t="n">
        <v>1.2</v>
      </c>
      <c r="M6" s="35" t="n">
        <v>0.39</v>
      </c>
      <c r="N6" s="35" t="n">
        <v>3.6</v>
      </c>
      <c r="O6" s="36" t="inlineStr">
        <is>
          <t>T4</t>
        </is>
      </c>
      <c r="P6" s="26" t="inlineStr">
        <is>
          <t>2026-04-23</t>
        </is>
      </c>
      <c r="Q6" s="26" t="inlineStr">
        <is>
          <t>Class anchor for frontier closed-weight serving (§4.5): no parameter disclosure and no published per-request measurement, so the row carries the full T4 band. The ceiling for an API row is T2 and only the provider can lift it (§4.8).</t>
        </is>
      </c>
      <c r="R6" s="26" t="inlineStr">
        <is>
          <t>OpenAI model documentation and release notes (developers.openai.com, openai.com), Sept 2026</t>
        </is>
      </c>
      <c r="S6" s="26" t="inlineStr">
        <is>
          <t>current</t>
        </is>
      </c>
    </row>
    <row r="7">
      <c r="A7" s="26" t="inlineStr">
        <is>
          <t>GPT-5.5 Pro</t>
        </is>
      </c>
      <c r="B7" s="26" t="inlineStr">
        <is>
          <t>OpenAI</t>
        </is>
      </c>
      <c r="C7" s="26" t="inlineStr">
        <is>
          <t>Proprietary</t>
        </is>
      </c>
      <c r="D7" s="26" t="inlineStr">
        <is>
          <t>proprietary</t>
        </is>
      </c>
      <c r="E7" s="26" t="inlineStr">
        <is>
          <t>Frontier</t>
        </is>
      </c>
      <c r="F7" s="26" t="inlineStr">
        <is>
          <t>undisclosed</t>
        </is>
      </c>
      <c r="G7" s="34" t="inlineStr"/>
      <c r="H7" s="34" t="inlineStr"/>
      <c r="I7" s="26" t="inlineStr">
        <is>
          <t>1.05M</t>
        </is>
      </c>
      <c r="J7" s="26" t="inlineStr">
        <is>
          <t>2026-04-24</t>
        </is>
      </c>
      <c r="K7" s="26" t="inlineStr">
        <is>
          <t>always</t>
        </is>
      </c>
      <c r="L7" s="35" t="n">
        <v>1.2</v>
      </c>
      <c r="M7" s="35" t="n">
        <v>0.39</v>
      </c>
      <c r="N7" s="35" t="n">
        <v>3.6</v>
      </c>
      <c r="O7" s="36" t="inlineStr">
        <is>
          <t>T4</t>
        </is>
      </c>
      <c r="P7" s="26" t="inlineStr">
        <is>
          <t>2026-04-24</t>
        </is>
      </c>
      <c r="Q7" s="26" t="inlineStr">
        <is>
          <t>Class anchor for frontier closed-weight serving (§4.5): no parameter disclosure and no published per-request measurement, so the row carries the full T4 band. The ceiling for an API row is T2 and only the provider can lift it (§4.8).</t>
        </is>
      </c>
      <c r="R7" s="26" t="inlineStr">
        <is>
          <t>OpenAI model documentation and release notes (developers.openai.com, openai.com), Sept 2026</t>
        </is>
      </c>
      <c r="S7" s="26" t="inlineStr">
        <is>
          <t>current</t>
        </is>
      </c>
    </row>
    <row r="8">
      <c r="A8" s="26" t="inlineStr">
        <is>
          <t>GPT-5.4</t>
        </is>
      </c>
      <c r="B8" s="26" t="inlineStr">
        <is>
          <t>OpenAI</t>
        </is>
      </c>
      <c r="C8" s="26" t="inlineStr">
        <is>
          <t>Proprietary</t>
        </is>
      </c>
      <c r="D8" s="26" t="inlineStr">
        <is>
          <t>proprietary</t>
        </is>
      </c>
      <c r="E8" s="26" t="inlineStr">
        <is>
          <t>Frontier</t>
        </is>
      </c>
      <c r="F8" s="26" t="inlineStr">
        <is>
          <t>undisclosed</t>
        </is>
      </c>
      <c r="G8" s="34" t="inlineStr"/>
      <c r="H8" s="34" t="inlineStr"/>
      <c r="I8" s="26" t="inlineStr">
        <is>
          <t>400K</t>
        </is>
      </c>
      <c r="J8" s="26" t="inlineStr">
        <is>
          <t>2026-03-05</t>
        </is>
      </c>
      <c r="K8" s="26" t="inlineStr">
        <is>
          <t>optional</t>
        </is>
      </c>
      <c r="L8" s="35" t="n">
        <v>1.2</v>
      </c>
      <c r="M8" s="35" t="n">
        <v>0.39</v>
      </c>
      <c r="N8" s="35" t="n">
        <v>3.6</v>
      </c>
      <c r="O8" s="36" t="inlineStr">
        <is>
          <t>T4</t>
        </is>
      </c>
      <c r="P8" s="26" t="inlineStr">
        <is>
          <t>2026-03-05</t>
        </is>
      </c>
      <c r="Q8" s="26" t="inlineStr">
        <is>
          <t>Class anchor for frontier closed-weight serving (§4.5): no parameter disclosure and no published per-request measurement, so the row carries the full T4 band. The ceiling for an API row is T2 and only the provider can lift it (§4.8).</t>
        </is>
      </c>
      <c r="R8" s="26" t="inlineStr">
        <is>
          <t>OpenAI model documentation and release notes (developers.openai.com, openai.com), Sept 2026</t>
        </is>
      </c>
      <c r="S8" s="26" t="inlineStr">
        <is>
          <t>current</t>
        </is>
      </c>
    </row>
    <row r="9">
      <c r="A9" s="26" t="inlineStr">
        <is>
          <t>GPT-5.4 mini</t>
        </is>
      </c>
      <c r="B9" s="26" t="inlineStr">
        <is>
          <t>OpenAI</t>
        </is>
      </c>
      <c r="C9" s="26" t="inlineStr">
        <is>
          <t>Proprietary</t>
        </is>
      </c>
      <c r="D9" s="26" t="inlineStr">
        <is>
          <t>proprietary</t>
        </is>
      </c>
      <c r="E9" s="26" t="inlineStr">
        <is>
          <t>Mid</t>
        </is>
      </c>
      <c r="F9" s="26" t="inlineStr">
        <is>
          <t>undisclosed</t>
        </is>
      </c>
      <c r="G9" s="34" t="inlineStr"/>
      <c r="H9" s="34" t="inlineStr"/>
      <c r="I9" s="26" t="inlineStr">
        <is>
          <t>400K</t>
        </is>
      </c>
      <c r="J9" s="26" t="inlineStr">
        <is>
          <t>2026-03-17</t>
        </is>
      </c>
      <c r="K9" s="26" t="inlineStr">
        <is>
          <t>optional</t>
        </is>
      </c>
      <c r="L9" s="35" t="n">
        <v>0.3</v>
      </c>
      <c r="M9" s="35" t="n">
        <v>0.09</v>
      </c>
      <c r="N9" s="35" t="n">
        <v>0.9</v>
      </c>
      <c r="O9" s="36" t="inlineStr">
        <is>
          <t>T4</t>
        </is>
      </c>
      <c r="P9" s="26" t="inlineStr">
        <is>
          <t>2026-03-17</t>
        </is>
      </c>
      <c r="Q9" s="26" t="inlineStr">
        <is>
          <t>Class anchor for mid closed-weight serving (§4.5): no parameter disclosure and no published per-request measurement, so the row carries the full T4 band. The ceiling for an API row is T2 and only the provider can lift it (§4.8).</t>
        </is>
      </c>
      <c r="R9" s="26" t="inlineStr">
        <is>
          <t>OpenAI model documentation and release notes (developers.openai.com, openai.com), Sept 2026</t>
        </is>
      </c>
      <c r="S9" s="26" t="inlineStr">
        <is>
          <t>current</t>
        </is>
      </c>
    </row>
    <row r="10">
      <c r="A10" s="26" t="inlineStr">
        <is>
          <t>GPT-5.4 nano</t>
        </is>
      </c>
      <c r="B10" s="26" t="inlineStr">
        <is>
          <t>OpenAI</t>
        </is>
      </c>
      <c r="C10" s="26" t="inlineStr">
        <is>
          <t>Proprietary</t>
        </is>
      </c>
      <c r="D10" s="26" t="inlineStr">
        <is>
          <t>proprietary</t>
        </is>
      </c>
      <c r="E10" s="26" t="inlineStr">
        <is>
          <t>Small</t>
        </is>
      </c>
      <c r="F10" s="26" t="inlineStr">
        <is>
          <t>undisclosed</t>
        </is>
      </c>
      <c r="G10" s="34" t="inlineStr"/>
      <c r="H10" s="34" t="inlineStr"/>
      <c r="I10" s="26" t="inlineStr">
        <is>
          <t>400K</t>
        </is>
      </c>
      <c r="J10" s="26" t="inlineStr">
        <is>
          <t>2026-03-17</t>
        </is>
      </c>
      <c r="K10" s="26" t="inlineStr">
        <is>
          <t>optional</t>
        </is>
      </c>
      <c r="L10" s="35" t="n">
        <v>0.12</v>
      </c>
      <c r="M10" s="35" t="n">
        <v>0.04</v>
      </c>
      <c r="N10" s="35" t="n">
        <v>0.36</v>
      </c>
      <c r="O10" s="36" t="inlineStr">
        <is>
          <t>T4</t>
        </is>
      </c>
      <c r="P10" s="26" t="inlineStr">
        <is>
          <t>2026-03-17</t>
        </is>
      </c>
      <c r="Q10" s="26" t="inlineStr">
        <is>
          <t>Class anchor for small closed-weight serving (§4.5): no parameter disclosure and no published per-request measurement, so the row carries the full T4 band. The ceiling for an API row is T2 and only the provider can lift it (§4.8).</t>
        </is>
      </c>
      <c r="R10" s="26" t="inlineStr">
        <is>
          <t>OpenAI model documentation and release notes (developers.openai.com, openai.com), Sept 2026</t>
        </is>
      </c>
      <c r="S10" s="26" t="inlineStr">
        <is>
          <t>current</t>
        </is>
      </c>
    </row>
    <row r="11">
      <c r="A11" s="26" t="inlineStr">
        <is>
          <t>GPT-5.3-Codex</t>
        </is>
      </c>
      <c r="B11" s="26" t="inlineStr">
        <is>
          <t>OpenAI</t>
        </is>
      </c>
      <c r="C11" s="26" t="inlineStr">
        <is>
          <t>Proprietary</t>
        </is>
      </c>
      <c r="D11" s="26" t="inlineStr">
        <is>
          <t>proprietary</t>
        </is>
      </c>
      <c r="E11" s="26" t="inlineStr">
        <is>
          <t>Frontier</t>
        </is>
      </c>
      <c r="F11" s="26" t="inlineStr">
        <is>
          <t>undisclosed</t>
        </is>
      </c>
      <c r="G11" s="34" t="inlineStr"/>
      <c r="H11" s="34" t="inlineStr"/>
      <c r="I11" s="26" t="inlineStr">
        <is>
          <t>400K</t>
        </is>
      </c>
      <c r="J11" s="26" t="inlineStr">
        <is>
          <t>2026-02-05</t>
        </is>
      </c>
      <c r="K11" s="26" t="inlineStr">
        <is>
          <t>optional</t>
        </is>
      </c>
      <c r="L11" s="35" t="n">
        <v>1.2</v>
      </c>
      <c r="M11" s="35" t="n">
        <v>0.39</v>
      </c>
      <c r="N11" s="35" t="n">
        <v>3.6</v>
      </c>
      <c r="O11" s="36" t="inlineStr">
        <is>
          <t>T4</t>
        </is>
      </c>
      <c r="P11" s="26" t="inlineStr">
        <is>
          <t>2026-02-05</t>
        </is>
      </c>
      <c r="Q11" s="26" t="inlineStr">
        <is>
          <t>Class anchor for frontier closed-weight serving (§4.5): no parameter disclosure and no published per-request measurement, so the row carries the full T4 band. The ceiling for an API row is T2 and only the provider can lift it (§4.8).</t>
        </is>
      </c>
      <c r="R11" s="26" t="inlineStr">
        <is>
          <t>OpenAI model documentation and release notes (developers.openai.com, openai.com), Sept 2026</t>
        </is>
      </c>
      <c r="S11" s="26" t="inlineStr">
        <is>
          <t>current</t>
        </is>
      </c>
    </row>
    <row r="12">
      <c r="A12" s="26" t="inlineStr">
        <is>
          <t>GPT-5.2</t>
        </is>
      </c>
      <c r="B12" s="26" t="inlineStr">
        <is>
          <t>OpenAI</t>
        </is>
      </c>
      <c r="C12" s="26" t="inlineStr">
        <is>
          <t>Proprietary</t>
        </is>
      </c>
      <c r="D12" s="26" t="inlineStr">
        <is>
          <t>proprietary</t>
        </is>
      </c>
      <c r="E12" s="26" t="inlineStr">
        <is>
          <t>Frontier</t>
        </is>
      </c>
      <c r="F12" s="26" t="inlineStr">
        <is>
          <t>undisclosed</t>
        </is>
      </c>
      <c r="G12" s="34" t="inlineStr"/>
      <c r="H12" s="34" t="inlineStr"/>
      <c r="I12" s="26" t="inlineStr">
        <is>
          <t>400K</t>
        </is>
      </c>
      <c r="J12" s="26" t="inlineStr">
        <is>
          <t>2025-12-11</t>
        </is>
      </c>
      <c r="K12" s="26" t="inlineStr">
        <is>
          <t>optional</t>
        </is>
      </c>
      <c r="L12" s="35" t="n">
        <v>1.2</v>
      </c>
      <c r="M12" s="35" t="n">
        <v>0.39</v>
      </c>
      <c r="N12" s="35" t="n">
        <v>3.6</v>
      </c>
      <c r="O12" s="36" t="inlineStr">
        <is>
          <t>T4</t>
        </is>
      </c>
      <c r="P12" s="26" t="inlineStr">
        <is>
          <t>2025-12-11</t>
        </is>
      </c>
      <c r="Q12" s="26" t="inlineStr">
        <is>
          <t>Class anchor for frontier closed-weight serving (§4.5): no parameter disclosure and no published per-request measurement, so the row carries the full T4 band. The ceiling for an API row is T2 and only the provider can lift it (§4.8).</t>
        </is>
      </c>
      <c r="R12" s="26" t="inlineStr">
        <is>
          <t>OpenAI model documentation and release notes (developers.openai.com, openai.com), Sept 2026</t>
        </is>
      </c>
      <c r="S12" s="26" t="inlineStr">
        <is>
          <t>current</t>
        </is>
      </c>
    </row>
    <row r="13">
      <c r="A13" s="26" t="inlineStr">
        <is>
          <t>o3-deep-research</t>
        </is>
      </c>
      <c r="B13" s="26" t="inlineStr">
        <is>
          <t>OpenAI</t>
        </is>
      </c>
      <c r="C13" s="26" t="inlineStr">
        <is>
          <t>Proprietary</t>
        </is>
      </c>
      <c r="D13" s="26" t="inlineStr">
        <is>
          <t>proprietary</t>
        </is>
      </c>
      <c r="E13" s="26" t="inlineStr">
        <is>
          <t>Frontier</t>
        </is>
      </c>
      <c r="F13" s="26" t="inlineStr">
        <is>
          <t>undisclosed</t>
        </is>
      </c>
      <c r="G13" s="34" t="inlineStr"/>
      <c r="H13" s="34" t="inlineStr"/>
      <c r="I13" s="26" t="inlineStr">
        <is>
          <t>200K</t>
        </is>
      </c>
      <c r="J13" s="26" t="inlineStr">
        <is>
          <t>2025-10-10</t>
        </is>
      </c>
      <c r="K13" s="26" t="inlineStr">
        <is>
          <t>always</t>
        </is>
      </c>
      <c r="L13" s="35" t="n">
        <v>1.2</v>
      </c>
      <c r="M13" s="35" t="n">
        <v>0.39</v>
      </c>
      <c r="N13" s="35" t="n">
        <v>3.6</v>
      </c>
      <c r="O13" s="36" t="inlineStr">
        <is>
          <t>T4</t>
        </is>
      </c>
      <c r="P13" s="26" t="inlineStr">
        <is>
          <t>2025-10-10</t>
        </is>
      </c>
      <c r="Q13" s="26" t="inlineStr">
        <is>
          <t>Class anchor for frontier closed-weight serving (§4.5): no parameter disclosure and no published per-request measurement, so the row carries the full T4 band. The ceiling for an API row is T2 and only the provider can lift it (§4.8). Deep-research runs emit very large hidden reasoning traces; grade on the Reasoning class and measure your own token usage before trusting the default.</t>
        </is>
      </c>
      <c r="R13" s="26" t="inlineStr">
        <is>
          <t>OpenAI model documentation and release notes (developers.openai.com, openai.com), Sept 2026</t>
        </is>
      </c>
      <c r="S13" s="26" t="inlineStr">
        <is>
          <t>current</t>
        </is>
      </c>
    </row>
    <row r="14">
      <c r="A14" s="26" t="inlineStr">
        <is>
          <t>ChatGPT (fleet average)</t>
        </is>
      </c>
      <c r="B14" s="26" t="inlineStr">
        <is>
          <t>OpenAI</t>
        </is>
      </c>
      <c r="C14" s="26" t="inlineStr">
        <is>
          <t>Proprietary</t>
        </is>
      </c>
      <c r="D14" s="26" t="inlineStr">
        <is>
          <t>proprietary</t>
        </is>
      </c>
      <c r="E14" s="26" t="inlineStr">
        <is>
          <t>Frontier</t>
        </is>
      </c>
      <c r="F14" s="26" t="inlineStr">
        <is>
          <t>undisclosed</t>
        </is>
      </c>
      <c r="G14" s="34" t="inlineStr"/>
      <c r="H14" s="34" t="inlineStr"/>
      <c r="I14" s="26" t="inlineStr">
        <is>
          <t>—</t>
        </is>
      </c>
      <c r="J14" s="26" t="inlineStr">
        <is>
          <t>2025-06</t>
        </is>
      </c>
      <c r="K14" s="26" t="inlineStr">
        <is>
          <t>mixed</t>
        </is>
      </c>
      <c r="L14" s="35" t="n">
        <v>1</v>
      </c>
      <c r="M14" s="35" t="n">
        <v>0.5</v>
      </c>
      <c r="N14" s="35" t="n">
        <v>2</v>
      </c>
      <c r="O14" s="37" t="inlineStr">
        <is>
          <t>T2</t>
        </is>
      </c>
      <c r="P14" s="26" t="inlineStr">
        <is>
          <t>2025-06</t>
        </is>
      </c>
      <c r="Q14" s="26" t="inlineStr">
        <is>
          <t>Provider-disclosed 0.34 Wh per average query, boundary unstated; converted at an assumed ~300 output tokens per average query. A fleet average is dominated by small models and short answers — it is not the rate of any one model, least of all a frontier one.</t>
        </is>
      </c>
      <c r="R14" s="26" t="inlineStr">
        <is>
          <t>OpenAI per-query energy statement (June 2025); conversion per FRAMEWORK.md §4.5</t>
        </is>
      </c>
      <c r="S14" s="26" t="inlineStr">
        <is>
          <t>current</t>
        </is>
      </c>
    </row>
    <row r="15">
      <c r="A15" s="26" t="inlineStr">
        <is>
          <t>gpt-oss-120b</t>
        </is>
      </c>
      <c r="B15" s="26" t="inlineStr">
        <is>
          <t>OpenAI</t>
        </is>
      </c>
      <c r="C15" s="38" t="inlineStr">
        <is>
          <t>Open</t>
        </is>
      </c>
      <c r="D15" s="26" t="inlineStr">
        <is>
          <t>Apache-2.0</t>
        </is>
      </c>
      <c r="E15" s="26" t="inlineStr">
        <is>
          <t>Mid</t>
        </is>
      </c>
      <c r="F15" s="26" t="inlineStr">
        <is>
          <t>MoE</t>
        </is>
      </c>
      <c r="G15" s="34" t="n">
        <v>117</v>
      </c>
      <c r="H15" s="34" t="n">
        <v>5.1</v>
      </c>
      <c r="I15" s="26" t="inlineStr">
        <is>
          <t>131K</t>
        </is>
      </c>
      <c r="J15" s="26" t="inlineStr">
        <is>
          <t>2025-08-05</t>
        </is>
      </c>
      <c r="K15" s="26" t="inlineStr">
        <is>
          <t>optional</t>
        </is>
      </c>
      <c r="L15" s="35" t="n">
        <v>0.011</v>
      </c>
      <c r="M15" s="35" t="n">
        <v>0.0036</v>
      </c>
      <c r="N15" s="35" t="n">
        <v>0.033</v>
      </c>
      <c r="O15" s="36" t="inlineStr">
        <is>
          <t>T4</t>
        </is>
      </c>
      <c r="P15" s="26" t="inlineStr">
        <is>
          <t>2025-08-05</t>
        </is>
      </c>
      <c r="Q15" s="26" t="inlineStr">
        <is>
          <t>T4-physics(A=5.1): e_out = 2*N_active/(eta*u*3600)*S with eta=1.4e12 FLOPs/J (H100-class BF16), u=0.3, S=1.7. Open weights, so this row can be moved to T1 by metering your own deployment (§4.8).</t>
        </is>
      </c>
      <c r="R15" s="26" t="inlineStr">
        <is>
          <t>OpenAI gpt-oss model card (Aug 2025)</t>
        </is>
      </c>
      <c r="S15" s="26" t="inlineStr">
        <is>
          <t>current</t>
        </is>
      </c>
    </row>
    <row r="16">
      <c r="A16" s="26" t="inlineStr">
        <is>
          <t>gpt-oss-20b</t>
        </is>
      </c>
      <c r="B16" s="26" t="inlineStr">
        <is>
          <t>OpenAI</t>
        </is>
      </c>
      <c r="C16" s="38" t="inlineStr">
        <is>
          <t>Open</t>
        </is>
      </c>
      <c r="D16" s="26" t="inlineStr">
        <is>
          <t>Apache-2.0</t>
        </is>
      </c>
      <c r="E16" s="26" t="inlineStr">
        <is>
          <t>Small</t>
        </is>
      </c>
      <c r="F16" s="26" t="inlineStr">
        <is>
          <t>MoE</t>
        </is>
      </c>
      <c r="G16" s="34" t="n">
        <v>21</v>
      </c>
      <c r="H16" s="34" t="n">
        <v>3.6</v>
      </c>
      <c r="I16" s="26" t="inlineStr">
        <is>
          <t>131K</t>
        </is>
      </c>
      <c r="J16" s="26" t="inlineStr">
        <is>
          <t>2025-08-05</t>
        </is>
      </c>
      <c r="K16" s="26" t="inlineStr">
        <is>
          <t>optional</t>
        </is>
      </c>
      <c r="L16" s="35" t="n">
        <v>0.0081</v>
      </c>
      <c r="M16" s="35" t="n">
        <v>0.0026</v>
      </c>
      <c r="N16" s="35" t="n">
        <v>0.025</v>
      </c>
      <c r="O16" s="36" t="inlineStr">
        <is>
          <t>T4</t>
        </is>
      </c>
      <c r="P16" s="26" t="inlineStr">
        <is>
          <t>2025-08-05</t>
        </is>
      </c>
      <c r="Q16" s="26" t="inlineStr">
        <is>
          <t>T4-physics(A=3.6): e_out = 2*N_active/(eta*u*3600)*S with eta=1.4e12 FLOPs/J (H100-class BF16), u=0.3, S=1.7. Open weights, so this row can be moved to T1 by metering your own deployment (§4.8).</t>
        </is>
      </c>
      <c r="R16" s="26" t="inlineStr">
        <is>
          <t>OpenAI gpt-oss model card (Aug 2025)</t>
        </is>
      </c>
      <c r="S16" s="26" t="inlineStr">
        <is>
          <t>current</t>
        </is>
      </c>
    </row>
    <row r="17">
      <c r="A17" s="26" t="inlineStr">
        <is>
          <t>GPT-4o</t>
        </is>
      </c>
      <c r="B17" s="26" t="inlineStr">
        <is>
          <t>OpenAI</t>
        </is>
      </c>
      <c r="C17" s="26" t="inlineStr">
        <is>
          <t>Proprietary</t>
        </is>
      </c>
      <c r="D17" s="26" t="inlineStr">
        <is>
          <t>proprietary</t>
        </is>
      </c>
      <c r="E17" s="26" t="inlineStr">
        <is>
          <t>Frontier</t>
        </is>
      </c>
      <c r="F17" s="26" t="inlineStr">
        <is>
          <t>undisclosed</t>
        </is>
      </c>
      <c r="G17" s="34" t="inlineStr"/>
      <c r="H17" s="34" t="inlineStr"/>
      <c r="I17" s="26" t="inlineStr">
        <is>
          <t>128K</t>
        </is>
      </c>
      <c r="J17" s="26" t="inlineStr">
        <is>
          <t>2024-05-13</t>
        </is>
      </c>
      <c r="K17" s="26" t="inlineStr">
        <is>
          <t>no</t>
        </is>
      </c>
      <c r="L17" s="35" t="n">
        <v>0.8</v>
      </c>
      <c r="M17" s="35" t="n">
        <v>0.3</v>
      </c>
      <c r="N17" s="35" t="n">
        <v>2.4</v>
      </c>
      <c r="O17" s="39" t="inlineStr">
        <is>
          <t>T3</t>
        </is>
      </c>
      <c r="P17" s="26" t="inlineStr">
        <is>
          <t>2025-05</t>
        </is>
      </c>
      <c r="Q17" s="26" t="inlineStr">
        <is>
          <t>Jegham et al. measured ~1.2 Wh per medium query; Epoch AI's first-principles estimate is ~0.3 Wh for a typical ~500-token answer. The central value reconciles both; the band is wider than T3 requires because the two disagree.</t>
        </is>
      </c>
      <c r="R17" s="26" t="inlineStr">
        <is>
          <t>arXiv:2505.09598; Epoch AI, 'How much energy does ChatGPT use?' (2025)</t>
        </is>
      </c>
      <c r="S17" s="26" t="inlineStr">
        <is>
          <t>legacy</t>
        </is>
      </c>
    </row>
    <row r="18">
      <c r="A18" s="26" t="inlineStr">
        <is>
          <t>GPT-4o mini</t>
        </is>
      </c>
      <c r="B18" s="26" t="inlineStr">
        <is>
          <t>OpenAI</t>
        </is>
      </c>
      <c r="C18" s="26" t="inlineStr">
        <is>
          <t>Proprietary</t>
        </is>
      </c>
      <c r="D18" s="26" t="inlineStr">
        <is>
          <t>proprietary</t>
        </is>
      </c>
      <c r="E18" s="26" t="inlineStr">
        <is>
          <t>Small</t>
        </is>
      </c>
      <c r="F18" s="26" t="inlineStr">
        <is>
          <t>undisclosed</t>
        </is>
      </c>
      <c r="G18" s="34" t="inlineStr"/>
      <c r="H18" s="34" t="inlineStr"/>
      <c r="I18" s="26" t="inlineStr">
        <is>
          <t>128K</t>
        </is>
      </c>
      <c r="J18" s="26" t="inlineStr">
        <is>
          <t>2024-07</t>
        </is>
      </c>
      <c r="K18" s="26" t="inlineStr">
        <is>
          <t>no</t>
        </is>
      </c>
      <c r="L18" s="35" t="n">
        <v>0.3</v>
      </c>
      <c r="M18" s="35" t="n">
        <v>0.1</v>
      </c>
      <c r="N18" s="35" t="n">
        <v>0.9</v>
      </c>
      <c r="O18" s="39" t="inlineStr">
        <is>
          <t>T3</t>
        </is>
      </c>
      <c r="P18" s="26" t="inlineStr">
        <is>
          <t>2025-05</t>
        </is>
      </c>
      <c r="Q18" s="26" t="inlineStr">
        <is>
          <t>Jegham et al. ~1.4 Wh per medium query — higher than parameter physics implies, a batching penalty small models pay in shared serving. Bounds widened for that conflict.</t>
        </is>
      </c>
      <c r="R18" s="26" t="inlineStr">
        <is>
          <t>arXiv:2505.09598</t>
        </is>
      </c>
      <c r="S18" s="26" t="inlineStr">
        <is>
          <t>legacy</t>
        </is>
      </c>
    </row>
    <row r="19">
      <c r="A19" s="26" t="inlineStr">
        <is>
          <t>GPT-4.1 nano</t>
        </is>
      </c>
      <c r="B19" s="26" t="inlineStr">
        <is>
          <t>OpenAI</t>
        </is>
      </c>
      <c r="C19" s="26" t="inlineStr">
        <is>
          <t>Proprietary</t>
        </is>
      </c>
      <c r="D19" s="26" t="inlineStr">
        <is>
          <t>proprietary</t>
        </is>
      </c>
      <c r="E19" s="26" t="inlineStr">
        <is>
          <t>Small</t>
        </is>
      </c>
      <c r="F19" s="26" t="inlineStr">
        <is>
          <t>undisclosed</t>
        </is>
      </c>
      <c r="G19" s="34" t="inlineStr"/>
      <c r="H19" s="34" t="inlineStr"/>
      <c r="I19" s="26" t="inlineStr">
        <is>
          <t>1M</t>
        </is>
      </c>
      <c r="J19" s="26" t="inlineStr">
        <is>
          <t>2025-04</t>
        </is>
      </c>
      <c r="K19" s="26" t="inlineStr">
        <is>
          <t>no</t>
        </is>
      </c>
      <c r="L19" s="35" t="n">
        <v>0.08</v>
      </c>
      <c r="M19" s="35" t="n">
        <v>0.03</v>
      </c>
      <c r="N19" s="35" t="n">
        <v>0.24</v>
      </c>
      <c r="O19" s="39" t="inlineStr">
        <is>
          <t>T3</t>
        </is>
      </c>
      <c r="P19" s="26" t="inlineStr">
        <is>
          <t>2025-05</t>
        </is>
      </c>
      <c r="Q19" s="26" t="inlineStr">
        <is>
          <t>Lowest-energy commercial model in the Jegham et al. benchmark — more than 70x below o3 on the same prompts. This spread is the empirical basis of mitigation lever 1.</t>
        </is>
      </c>
      <c r="R19" s="26" t="inlineStr">
        <is>
          <t>arXiv:2505.09598</t>
        </is>
      </c>
      <c r="S19" s="26" t="inlineStr">
        <is>
          <t>legacy</t>
        </is>
      </c>
    </row>
    <row r="20">
      <c r="A20" s="26" t="inlineStr">
        <is>
          <t>o3</t>
        </is>
      </c>
      <c r="B20" s="26" t="inlineStr">
        <is>
          <t>OpenAI</t>
        </is>
      </c>
      <c r="C20" s="26" t="inlineStr">
        <is>
          <t>Proprietary</t>
        </is>
      </c>
      <c r="D20" s="26" t="inlineStr">
        <is>
          <t>proprietary</t>
        </is>
      </c>
      <c r="E20" s="26" t="inlineStr">
        <is>
          <t>Frontier</t>
        </is>
      </c>
      <c r="F20" s="26" t="inlineStr">
        <is>
          <t>undisclosed</t>
        </is>
      </c>
      <c r="G20" s="34" t="inlineStr"/>
      <c r="H20" s="34" t="inlineStr"/>
      <c r="I20" s="26" t="inlineStr">
        <is>
          <t>200K</t>
        </is>
      </c>
      <c r="J20" s="26" t="inlineStr">
        <is>
          <t>2025-04-16</t>
        </is>
      </c>
      <c r="K20" s="26" t="inlineStr">
        <is>
          <t>always</t>
        </is>
      </c>
      <c r="L20" s="35" t="n">
        <v>5</v>
      </c>
      <c r="M20" s="35" t="n">
        <v>2.5</v>
      </c>
      <c r="N20" s="35" t="n">
        <v>10</v>
      </c>
      <c r="O20" s="39" t="inlineStr">
        <is>
          <t>T3</t>
        </is>
      </c>
      <c r="P20" s="26" t="inlineStr">
        <is>
          <t>2025-05</t>
        </is>
      </c>
      <c r="Q20" s="26" t="inlineStr">
        <is>
          <t>Jegham et al.: 21.4 Wh per medium prompt and over 33 Wh per long prompt including hidden reasoning tokens; expressed here as an effective rate per 1k generated tokens. Anchors the grade-E band for the reasoning class.</t>
        </is>
      </c>
      <c r="R20" s="26" t="inlineStr">
        <is>
          <t>arXiv:2505.09598</t>
        </is>
      </c>
      <c r="S20" s="26" t="inlineStr">
        <is>
          <t>legacy</t>
        </is>
      </c>
    </row>
    <row r="21">
      <c r="A21" s="26" t="inlineStr">
        <is>
          <t>GPT-5</t>
        </is>
      </c>
      <c r="B21" s="26" t="inlineStr">
        <is>
          <t>OpenAI</t>
        </is>
      </c>
      <c r="C21" s="26" t="inlineStr">
        <is>
          <t>Proprietary</t>
        </is>
      </c>
      <c r="D21" s="26" t="inlineStr">
        <is>
          <t>proprietary</t>
        </is>
      </c>
      <c r="E21" s="26" t="inlineStr">
        <is>
          <t>Frontier</t>
        </is>
      </c>
      <c r="F21" s="26" t="inlineStr">
        <is>
          <t>undisclosed</t>
        </is>
      </c>
      <c r="G21" s="34" t="inlineStr"/>
      <c r="H21" s="34" t="inlineStr"/>
      <c r="I21" s="26" t="inlineStr">
        <is>
          <t>400K</t>
        </is>
      </c>
      <c r="J21" s="26" t="inlineStr">
        <is>
          <t>2025-08-07</t>
        </is>
      </c>
      <c r="K21" s="26" t="inlineStr">
        <is>
          <t>optional</t>
        </is>
      </c>
      <c r="L21" s="35" t="n">
        <v>1</v>
      </c>
      <c r="M21" s="35" t="n">
        <v>0.33</v>
      </c>
      <c r="N21" s="35" t="n">
        <v>3</v>
      </c>
      <c r="O21" s="36" t="inlineStr">
        <is>
          <t>T4</t>
        </is>
      </c>
      <c r="P21" s="26" t="inlineStr">
        <is>
          <t>2025-08</t>
        </is>
      </c>
      <c r="Q21" s="26" t="inlineStr">
        <is>
          <t>Class anchor at time of release; retained so year-on-year comparisons against the 2025 generation remain possible.</t>
        </is>
      </c>
      <c r="R21" s="26" t="inlineStr">
        <is>
          <t>Class-based estimate per FRAMEWORK.md §4.5</t>
        </is>
      </c>
      <c r="S21" s="26" t="inlineStr">
        <is>
          <t>legacy</t>
        </is>
      </c>
    </row>
    <row r="22">
      <c r="A22" s="26" t="inlineStr">
        <is>
          <t>Claude Fable 5.1</t>
        </is>
      </c>
      <c r="B22" s="26" t="inlineStr">
        <is>
          <t>Anthropic</t>
        </is>
      </c>
      <c r="C22" s="26" t="inlineStr">
        <is>
          <t>Proprietary</t>
        </is>
      </c>
      <c r="D22" s="26" t="inlineStr">
        <is>
          <t>proprietary</t>
        </is>
      </c>
      <c r="E22" s="26" t="inlineStr">
        <is>
          <t>Frontier</t>
        </is>
      </c>
      <c r="F22" s="26" t="inlineStr">
        <is>
          <t>undisclosed</t>
        </is>
      </c>
      <c r="G22" s="34" t="inlineStr"/>
      <c r="H22" s="34" t="inlineStr"/>
      <c r="I22" s="26" t="inlineStr">
        <is>
          <t>1M</t>
        </is>
      </c>
      <c r="J22" s="26" t="inlineStr">
        <is>
          <t>2026-09-01</t>
        </is>
      </c>
      <c r="K22" s="26" t="inlineStr">
        <is>
          <t>always</t>
        </is>
      </c>
      <c r="L22" s="35" t="n">
        <v>1.2</v>
      </c>
      <c r="M22" s="35" t="n">
        <v>0.39</v>
      </c>
      <c r="N22" s="35" t="n">
        <v>3.6</v>
      </c>
      <c r="O22" s="36" t="inlineStr">
        <is>
          <t>T4</t>
        </is>
      </c>
      <c r="P22" s="26" t="inlineStr">
        <is>
          <t>2026-09-01</t>
        </is>
      </c>
      <c r="Q22" s="26" t="inlineStr">
        <is>
          <t>Class anchor for frontier closed-weight serving (§4.5): no parameter disclosure and no published per-request measurement, so the row carries the full T4 band. The ceiling for an API row is T2 and only the provider can lift it (§4.8). Anthropic publishes no per-query or per-token energy, carbon or water figure for any Claude model, so this row cannot rise above T4 without a disclosure.</t>
        </is>
      </c>
      <c r="R22" s="26" t="inlineStr">
        <is>
          <t>Anthropic model documentation (platform.claude.com), Sept 2026</t>
        </is>
      </c>
      <c r="S22" s="26" t="inlineStr">
        <is>
          <t>current</t>
        </is>
      </c>
    </row>
    <row r="23">
      <c r="A23" s="26" t="inlineStr">
        <is>
          <t>Claude Mythos 5.1</t>
        </is>
      </c>
      <c r="B23" s="26" t="inlineStr">
        <is>
          <t>Anthropic</t>
        </is>
      </c>
      <c r="C23" s="26" t="inlineStr">
        <is>
          <t>Proprietary</t>
        </is>
      </c>
      <c r="D23" s="26" t="inlineStr">
        <is>
          <t>proprietary</t>
        </is>
      </c>
      <c r="E23" s="26" t="inlineStr">
        <is>
          <t>Frontier</t>
        </is>
      </c>
      <c r="F23" s="26" t="inlineStr">
        <is>
          <t>undisclosed</t>
        </is>
      </c>
      <c r="G23" s="34" t="inlineStr"/>
      <c r="H23" s="34" t="inlineStr"/>
      <c r="I23" s="26" t="inlineStr">
        <is>
          <t>1M</t>
        </is>
      </c>
      <c r="J23" s="26" t="inlineStr">
        <is>
          <t>2026-09-01</t>
        </is>
      </c>
      <c r="K23" s="26" t="inlineStr">
        <is>
          <t>always</t>
        </is>
      </c>
      <c r="L23" s="35" t="n">
        <v>1.2</v>
      </c>
      <c r="M23" s="35" t="n">
        <v>0.39</v>
      </c>
      <c r="N23" s="35" t="n">
        <v>3.6</v>
      </c>
      <c r="O23" s="36" t="inlineStr">
        <is>
          <t>T4</t>
        </is>
      </c>
      <c r="P23" s="26" t="inlineStr">
        <is>
          <t>2026-09-01</t>
        </is>
      </c>
      <c r="Q23" s="26" t="inlineStr">
        <is>
          <t>Class anchor for frontier closed-weight serving (§4.5): no parameter disclosure and no published per-request measurement, so the row carries the full T4 band. The ceiling for an API row is T2 and only the provider can lift it (§4.8). Trusted-access only; shares Fable 5.1's specifications. Anthropic publishes no per-query or per-token energy, carbon or water figure for any Claude model, so this row cannot rise above T4 without a disclosure.</t>
        </is>
      </c>
      <c r="R23" s="26" t="inlineStr">
        <is>
          <t>Anthropic model documentation (platform.claude.com), Sept 2026</t>
        </is>
      </c>
      <c r="S23" s="26" t="inlineStr">
        <is>
          <t>current</t>
        </is>
      </c>
    </row>
    <row r="24">
      <c r="A24" s="26" t="inlineStr">
        <is>
          <t>Claude Opus 5</t>
        </is>
      </c>
      <c r="B24" s="26" t="inlineStr">
        <is>
          <t>Anthropic</t>
        </is>
      </c>
      <c r="C24" s="26" t="inlineStr">
        <is>
          <t>Proprietary</t>
        </is>
      </c>
      <c r="D24" s="26" t="inlineStr">
        <is>
          <t>proprietary</t>
        </is>
      </c>
      <c r="E24" s="26" t="inlineStr">
        <is>
          <t>Frontier</t>
        </is>
      </c>
      <c r="F24" s="26" t="inlineStr">
        <is>
          <t>undisclosed</t>
        </is>
      </c>
      <c r="G24" s="34" t="inlineStr"/>
      <c r="H24" s="34" t="inlineStr"/>
      <c r="I24" s="26" t="inlineStr">
        <is>
          <t>1M</t>
        </is>
      </c>
      <c r="J24" s="26" t="inlineStr">
        <is>
          <t>2026-07-24</t>
        </is>
      </c>
      <c r="K24" s="26" t="inlineStr">
        <is>
          <t>optional</t>
        </is>
      </c>
      <c r="L24" s="35" t="n">
        <v>1.2</v>
      </c>
      <c r="M24" s="35" t="n">
        <v>0.39</v>
      </c>
      <c r="N24" s="35" t="n">
        <v>3.6</v>
      </c>
      <c r="O24" s="36" t="inlineStr">
        <is>
          <t>T4</t>
        </is>
      </c>
      <c r="P24" s="26" t="inlineStr">
        <is>
          <t>2026-07-24</t>
        </is>
      </c>
      <c r="Q24" s="26" t="inlineStr">
        <is>
          <t>Class anchor for frontier closed-weight serving (§4.5): no parameter disclosure and no published per-request measurement, so the row carries the full T4 band. The ceiling for an API row is T2 and only the provider can lift it (§4.8). Anthropic publishes no per-query or per-token energy, carbon or water figure for any Claude model, so this row cannot rise above T4 without a disclosure.</t>
        </is>
      </c>
      <c r="R24" s="26" t="inlineStr">
        <is>
          <t>Anthropic model documentation (platform.claude.com), Sept 2026</t>
        </is>
      </c>
      <c r="S24" s="26" t="inlineStr">
        <is>
          <t>current</t>
        </is>
      </c>
    </row>
    <row r="25">
      <c r="A25" s="26" t="inlineStr">
        <is>
          <t>Claude Sonnet 5</t>
        </is>
      </c>
      <c r="B25" s="26" t="inlineStr">
        <is>
          <t>Anthropic</t>
        </is>
      </c>
      <c r="C25" s="26" t="inlineStr">
        <is>
          <t>Proprietary</t>
        </is>
      </c>
      <c r="D25" s="26" t="inlineStr">
        <is>
          <t>proprietary</t>
        </is>
      </c>
      <c r="E25" s="26" t="inlineStr">
        <is>
          <t>Mid</t>
        </is>
      </c>
      <c r="F25" s="26" t="inlineStr">
        <is>
          <t>undisclosed</t>
        </is>
      </c>
      <c r="G25" s="34" t="inlineStr"/>
      <c r="H25" s="34" t="inlineStr"/>
      <c r="I25" s="26" t="inlineStr">
        <is>
          <t>1M</t>
        </is>
      </c>
      <c r="J25" s="26" t="inlineStr">
        <is>
          <t>2026-06-30</t>
        </is>
      </c>
      <c r="K25" s="26" t="inlineStr">
        <is>
          <t>optional</t>
        </is>
      </c>
      <c r="L25" s="35" t="n">
        <v>0.3</v>
      </c>
      <c r="M25" s="35" t="n">
        <v>0.09</v>
      </c>
      <c r="N25" s="35" t="n">
        <v>0.9</v>
      </c>
      <c r="O25" s="36" t="inlineStr">
        <is>
          <t>T4</t>
        </is>
      </c>
      <c r="P25" s="26" t="inlineStr">
        <is>
          <t>2026-06-30</t>
        </is>
      </c>
      <c r="Q25" s="26" t="inlineStr">
        <is>
          <t>Class anchor for mid closed-weight serving (§4.5): no parameter disclosure and no published per-request measurement, so the row carries the full T4 band. The ceiling for an API row is T2 and only the provider can lift it (§4.8). Anthropic publishes no per-query or per-token energy, carbon or water figure for any Claude model, so this row cannot rise above T4 without a disclosure.</t>
        </is>
      </c>
      <c r="R25" s="26" t="inlineStr">
        <is>
          <t>Anthropic model documentation (platform.claude.com), Sept 2026</t>
        </is>
      </c>
      <c r="S25" s="26" t="inlineStr">
        <is>
          <t>current</t>
        </is>
      </c>
    </row>
    <row r="26">
      <c r="A26" s="26" t="inlineStr">
        <is>
          <t>Claude Fable 5</t>
        </is>
      </c>
      <c r="B26" s="26" t="inlineStr">
        <is>
          <t>Anthropic</t>
        </is>
      </c>
      <c r="C26" s="26" t="inlineStr">
        <is>
          <t>Proprietary</t>
        </is>
      </c>
      <c r="D26" s="26" t="inlineStr">
        <is>
          <t>proprietary</t>
        </is>
      </c>
      <c r="E26" s="26" t="inlineStr">
        <is>
          <t>Frontier</t>
        </is>
      </c>
      <c r="F26" s="26" t="inlineStr">
        <is>
          <t>undisclosed</t>
        </is>
      </c>
      <c r="G26" s="34" t="inlineStr"/>
      <c r="H26" s="34" t="inlineStr"/>
      <c r="I26" s="26" t="inlineStr">
        <is>
          <t>1M</t>
        </is>
      </c>
      <c r="J26" s="26" t="inlineStr">
        <is>
          <t>2026-06-09</t>
        </is>
      </c>
      <c r="K26" s="26" t="inlineStr">
        <is>
          <t>always</t>
        </is>
      </c>
      <c r="L26" s="35" t="n">
        <v>1.2</v>
      </c>
      <c r="M26" s="35" t="n">
        <v>0.39</v>
      </c>
      <c r="N26" s="35" t="n">
        <v>3.6</v>
      </c>
      <c r="O26" s="36" t="inlineStr">
        <is>
          <t>T4</t>
        </is>
      </c>
      <c r="P26" s="26" t="inlineStr">
        <is>
          <t>2026-06-09</t>
        </is>
      </c>
      <c r="Q26" s="26" t="inlineStr">
        <is>
          <t>Class anchor for frontier closed-weight serving (§4.5): no parameter disclosure and no published per-request measurement, so the row carries the full T4 band. The ceiling for an API row is T2 and only the provider can lift it (§4.8). Anthropic publishes no per-query or per-token energy, carbon or water figure for any Claude model, so this row cannot rise above T4 without a disclosure.</t>
        </is>
      </c>
      <c r="R26" s="26" t="inlineStr">
        <is>
          <t>Anthropic model documentation (platform.claude.com), Sept 2026</t>
        </is>
      </c>
      <c r="S26" s="26" t="inlineStr">
        <is>
          <t>current</t>
        </is>
      </c>
    </row>
    <row r="27">
      <c r="A27" s="26" t="inlineStr">
        <is>
          <t>Claude Opus 4.8</t>
        </is>
      </c>
      <c r="B27" s="26" t="inlineStr">
        <is>
          <t>Anthropic</t>
        </is>
      </c>
      <c r="C27" s="26" t="inlineStr">
        <is>
          <t>Proprietary</t>
        </is>
      </c>
      <c r="D27" s="26" t="inlineStr">
        <is>
          <t>proprietary</t>
        </is>
      </c>
      <c r="E27" s="26" t="inlineStr">
        <is>
          <t>Frontier</t>
        </is>
      </c>
      <c r="F27" s="26" t="inlineStr">
        <is>
          <t>undisclosed</t>
        </is>
      </c>
      <c r="G27" s="34" t="inlineStr"/>
      <c r="H27" s="34" t="inlineStr"/>
      <c r="I27" s="26" t="inlineStr">
        <is>
          <t>1M</t>
        </is>
      </c>
      <c r="J27" s="26" t="inlineStr">
        <is>
          <t>2026-05-28</t>
        </is>
      </c>
      <c r="K27" s="26" t="inlineStr">
        <is>
          <t>optional</t>
        </is>
      </c>
      <c r="L27" s="35" t="n">
        <v>1.2</v>
      </c>
      <c r="M27" s="35" t="n">
        <v>0.39</v>
      </c>
      <c r="N27" s="35" t="n">
        <v>3.6</v>
      </c>
      <c r="O27" s="36" t="inlineStr">
        <is>
          <t>T4</t>
        </is>
      </c>
      <c r="P27" s="26" t="inlineStr">
        <is>
          <t>2026-05-28</t>
        </is>
      </c>
      <c r="Q27" s="26" t="inlineStr">
        <is>
          <t>Class anchor for frontier closed-weight serving (§4.5): no parameter disclosure and no published per-request measurement, so the row carries the full T4 band. The ceiling for an API row is T2 and only the provider can lift it (§4.8). Anthropic publishes no per-query or per-token energy, carbon or water figure for any Claude model, so this row cannot rise above T4 without a disclosure.</t>
        </is>
      </c>
      <c r="R27" s="26" t="inlineStr">
        <is>
          <t>Anthropic model documentation (platform.claude.com), Sept 2026</t>
        </is>
      </c>
      <c r="S27" s="26" t="inlineStr">
        <is>
          <t>current</t>
        </is>
      </c>
    </row>
    <row r="28">
      <c r="A28" s="26" t="inlineStr">
        <is>
          <t>Claude Opus 4.6</t>
        </is>
      </c>
      <c r="B28" s="26" t="inlineStr">
        <is>
          <t>Anthropic</t>
        </is>
      </c>
      <c r="C28" s="26" t="inlineStr">
        <is>
          <t>Proprietary</t>
        </is>
      </c>
      <c r="D28" s="26" t="inlineStr">
        <is>
          <t>proprietary</t>
        </is>
      </c>
      <c r="E28" s="26" t="inlineStr">
        <is>
          <t>Frontier</t>
        </is>
      </c>
      <c r="F28" s="26" t="inlineStr">
        <is>
          <t>undisclosed</t>
        </is>
      </c>
      <c r="G28" s="34" t="inlineStr"/>
      <c r="H28" s="34" t="inlineStr"/>
      <c r="I28" s="26" t="inlineStr">
        <is>
          <t>1M</t>
        </is>
      </c>
      <c r="J28" s="26" t="inlineStr">
        <is>
          <t>2026-02-05</t>
        </is>
      </c>
      <c r="K28" s="26" t="inlineStr">
        <is>
          <t>optional</t>
        </is>
      </c>
      <c r="L28" s="35" t="n">
        <v>1.2</v>
      </c>
      <c r="M28" s="35" t="n">
        <v>0.39</v>
      </c>
      <c r="N28" s="35" t="n">
        <v>3.6</v>
      </c>
      <c r="O28" s="36" t="inlineStr">
        <is>
          <t>T4</t>
        </is>
      </c>
      <c r="P28" s="26" t="inlineStr">
        <is>
          <t>2026-02-05</t>
        </is>
      </c>
      <c r="Q28" s="26" t="inlineStr">
        <is>
          <t>Class anchor for frontier closed-weight serving (§4.5): no parameter disclosure and no published per-request measurement, so the row carries the full T4 band. The ceiling for an API row is T2 and only the provider can lift it (§4.8). Anthropic publishes no per-query or per-token energy, carbon or water figure for any Claude model, so this row cannot rise above T4 without a disclosure.</t>
        </is>
      </c>
      <c r="R28" s="26" t="inlineStr">
        <is>
          <t>Anthropic model documentation (platform.claude.com), Sept 2026</t>
        </is>
      </c>
      <c r="S28" s="26" t="inlineStr">
        <is>
          <t>current</t>
        </is>
      </c>
    </row>
    <row r="29">
      <c r="A29" s="26" t="inlineStr">
        <is>
          <t>Claude Sonnet 4.6</t>
        </is>
      </c>
      <c r="B29" s="26" t="inlineStr">
        <is>
          <t>Anthropic</t>
        </is>
      </c>
      <c r="C29" s="26" t="inlineStr">
        <is>
          <t>Proprietary</t>
        </is>
      </c>
      <c r="D29" s="26" t="inlineStr">
        <is>
          <t>proprietary</t>
        </is>
      </c>
      <c r="E29" s="26" t="inlineStr">
        <is>
          <t>Mid</t>
        </is>
      </c>
      <c r="F29" s="26" t="inlineStr">
        <is>
          <t>undisclosed</t>
        </is>
      </c>
      <c r="G29" s="34" t="inlineStr"/>
      <c r="H29" s="34" t="inlineStr"/>
      <c r="I29" s="26" t="inlineStr">
        <is>
          <t>1M</t>
        </is>
      </c>
      <c r="J29" s="26" t="inlineStr">
        <is>
          <t>2026-02-17</t>
        </is>
      </c>
      <c r="K29" s="26" t="inlineStr">
        <is>
          <t>optional</t>
        </is>
      </c>
      <c r="L29" s="35" t="n">
        <v>0.3</v>
      </c>
      <c r="M29" s="35" t="n">
        <v>0.09</v>
      </c>
      <c r="N29" s="35" t="n">
        <v>0.9</v>
      </c>
      <c r="O29" s="36" t="inlineStr">
        <is>
          <t>T4</t>
        </is>
      </c>
      <c r="P29" s="26" t="inlineStr">
        <is>
          <t>2026-02-17</t>
        </is>
      </c>
      <c r="Q29" s="26" t="inlineStr">
        <is>
          <t>Class anchor for mid closed-weight serving (§4.5): no parameter disclosure and no published per-request measurement, so the row carries the full T4 band. The ceiling for an API row is T2 and only the provider can lift it (§4.8). Anthropic publishes no per-query or per-token energy, carbon or water figure for any Claude model, so this row cannot rise above T4 without a disclosure.</t>
        </is>
      </c>
      <c r="R29" s="26" t="inlineStr">
        <is>
          <t>Anthropic model documentation (platform.claude.com), Sept 2026</t>
        </is>
      </c>
      <c r="S29" s="26" t="inlineStr">
        <is>
          <t>current</t>
        </is>
      </c>
    </row>
    <row r="30">
      <c r="A30" s="26" t="inlineStr">
        <is>
          <t>Claude Opus 4.5</t>
        </is>
      </c>
      <c r="B30" s="26" t="inlineStr">
        <is>
          <t>Anthropic</t>
        </is>
      </c>
      <c r="C30" s="26" t="inlineStr">
        <is>
          <t>Proprietary</t>
        </is>
      </c>
      <c r="D30" s="26" t="inlineStr">
        <is>
          <t>proprietary</t>
        </is>
      </c>
      <c r="E30" s="26" t="inlineStr">
        <is>
          <t>Frontier</t>
        </is>
      </c>
      <c r="F30" s="26" t="inlineStr">
        <is>
          <t>undisclosed</t>
        </is>
      </c>
      <c r="G30" s="34" t="inlineStr"/>
      <c r="H30" s="34" t="inlineStr"/>
      <c r="I30" s="26" t="inlineStr">
        <is>
          <t>200K</t>
        </is>
      </c>
      <c r="J30" s="26" t="inlineStr">
        <is>
          <t>2025-11-24</t>
        </is>
      </c>
      <c r="K30" s="26" t="inlineStr">
        <is>
          <t>optional</t>
        </is>
      </c>
      <c r="L30" s="35" t="n">
        <v>1.2</v>
      </c>
      <c r="M30" s="35" t="n">
        <v>0.39</v>
      </c>
      <c r="N30" s="35" t="n">
        <v>3.6</v>
      </c>
      <c r="O30" s="36" t="inlineStr">
        <is>
          <t>T4</t>
        </is>
      </c>
      <c r="P30" s="26" t="inlineStr">
        <is>
          <t>2025-11-24</t>
        </is>
      </c>
      <c r="Q30" s="26" t="inlineStr">
        <is>
          <t>Class anchor for frontier closed-weight serving (§4.5): no parameter disclosure and no published per-request measurement, so the row carries the full T4 band. The ceiling for an API row is T2 and only the provider can lift it (§4.8). Anthropic publishes no per-query or per-token energy, carbon or water figure for any Claude model, so this row cannot rise above T4 without a disclosure.</t>
        </is>
      </c>
      <c r="R30" s="26" t="inlineStr">
        <is>
          <t>Anthropic model documentation (platform.claude.com), Sept 2026</t>
        </is>
      </c>
      <c r="S30" s="26" t="inlineStr">
        <is>
          <t>current</t>
        </is>
      </c>
    </row>
    <row r="31">
      <c r="A31" s="26" t="inlineStr">
        <is>
          <t>Claude Sonnet 4.5</t>
        </is>
      </c>
      <c r="B31" s="26" t="inlineStr">
        <is>
          <t>Anthropic</t>
        </is>
      </c>
      <c r="C31" s="26" t="inlineStr">
        <is>
          <t>Proprietary</t>
        </is>
      </c>
      <c r="D31" s="26" t="inlineStr">
        <is>
          <t>proprietary</t>
        </is>
      </c>
      <c r="E31" s="26" t="inlineStr">
        <is>
          <t>Mid</t>
        </is>
      </c>
      <c r="F31" s="26" t="inlineStr">
        <is>
          <t>undisclosed</t>
        </is>
      </c>
      <c r="G31" s="34" t="inlineStr"/>
      <c r="H31" s="34" t="inlineStr"/>
      <c r="I31" s="26" t="inlineStr">
        <is>
          <t>200K</t>
        </is>
      </c>
      <c r="J31" s="26" t="inlineStr">
        <is>
          <t>2025-09-29</t>
        </is>
      </c>
      <c r="K31" s="26" t="inlineStr">
        <is>
          <t>optional</t>
        </is>
      </c>
      <c r="L31" s="35" t="n">
        <v>0.3</v>
      </c>
      <c r="M31" s="35" t="n">
        <v>0.09</v>
      </c>
      <c r="N31" s="35" t="n">
        <v>0.9</v>
      </c>
      <c r="O31" s="36" t="inlineStr">
        <is>
          <t>T4</t>
        </is>
      </c>
      <c r="P31" s="26" t="inlineStr">
        <is>
          <t>2025-09-29</t>
        </is>
      </c>
      <c r="Q31" s="26" t="inlineStr">
        <is>
          <t>Class anchor for mid closed-weight serving (§4.5): no parameter disclosure and no published per-request measurement, so the row carries the full T4 band. The ceiling for an API row is T2 and only the provider can lift it (§4.8). Anthropic publishes no per-query or per-token energy, carbon or water figure for any Claude model, so this row cannot rise above T4 without a disclosure.</t>
        </is>
      </c>
      <c r="R31" s="26" t="inlineStr">
        <is>
          <t>Anthropic model documentation (platform.claude.com), Sept 2026</t>
        </is>
      </c>
      <c r="S31" s="26" t="inlineStr">
        <is>
          <t>current</t>
        </is>
      </c>
    </row>
    <row r="32">
      <c r="A32" s="26" t="inlineStr">
        <is>
          <t>Claude Haiku 4.5</t>
        </is>
      </c>
      <c r="B32" s="26" t="inlineStr">
        <is>
          <t>Anthropic</t>
        </is>
      </c>
      <c r="C32" s="26" t="inlineStr">
        <is>
          <t>Proprietary</t>
        </is>
      </c>
      <c r="D32" s="26" t="inlineStr">
        <is>
          <t>proprietary</t>
        </is>
      </c>
      <c r="E32" s="26" t="inlineStr">
        <is>
          <t>Small</t>
        </is>
      </c>
      <c r="F32" s="26" t="inlineStr">
        <is>
          <t>undisclosed</t>
        </is>
      </c>
      <c r="G32" s="34" t="inlineStr"/>
      <c r="H32" s="34" t="inlineStr"/>
      <c r="I32" s="26" t="inlineStr">
        <is>
          <t>200K</t>
        </is>
      </c>
      <c r="J32" s="26" t="inlineStr">
        <is>
          <t>2025-10-15</t>
        </is>
      </c>
      <c r="K32" s="26" t="inlineStr">
        <is>
          <t>optional</t>
        </is>
      </c>
      <c r="L32" s="35" t="n">
        <v>0.12</v>
      </c>
      <c r="M32" s="35" t="n">
        <v>0.04</v>
      </c>
      <c r="N32" s="35" t="n">
        <v>0.36</v>
      </c>
      <c r="O32" s="36" t="inlineStr">
        <is>
          <t>T4</t>
        </is>
      </c>
      <c r="P32" s="26" t="inlineStr">
        <is>
          <t>2025-10-15</t>
        </is>
      </c>
      <c r="Q32" s="26" t="inlineStr">
        <is>
          <t>Class anchor for small closed-weight serving (§4.5): no parameter disclosure and no published per-request measurement, so the row carries the full T4 band. The ceiling for an API row is T2 and only the provider can lift it (§4.8). Anthropic publishes no per-query or per-token energy, carbon or water figure for any Claude model, so this row cannot rise above T4 without a disclosure.</t>
        </is>
      </c>
      <c r="R32" s="26" t="inlineStr">
        <is>
          <t>Anthropic model documentation (platform.claude.com), Sept 2026</t>
        </is>
      </c>
      <c r="S32" s="26" t="inlineStr">
        <is>
          <t>current</t>
        </is>
      </c>
    </row>
    <row r="33">
      <c r="A33" s="26" t="inlineStr">
        <is>
          <t>Claude 3.7 Sonnet</t>
        </is>
      </c>
      <c r="B33" s="26" t="inlineStr">
        <is>
          <t>Anthropic</t>
        </is>
      </c>
      <c r="C33" s="26" t="inlineStr">
        <is>
          <t>Proprietary</t>
        </is>
      </c>
      <c r="D33" s="26" t="inlineStr">
        <is>
          <t>proprietary</t>
        </is>
      </c>
      <c r="E33" s="26" t="inlineStr">
        <is>
          <t>Frontier</t>
        </is>
      </c>
      <c r="F33" s="26" t="inlineStr">
        <is>
          <t>undisclosed</t>
        </is>
      </c>
      <c r="G33" s="34" t="inlineStr"/>
      <c r="H33" s="34" t="inlineStr"/>
      <c r="I33" s="26" t="inlineStr">
        <is>
          <t>200K</t>
        </is>
      </c>
      <c r="J33" s="26" t="inlineStr">
        <is>
          <t>2025-02</t>
        </is>
      </c>
      <c r="K33" s="26" t="inlineStr">
        <is>
          <t>optional</t>
        </is>
      </c>
      <c r="L33" s="35" t="n">
        <v>1.4</v>
      </c>
      <c r="M33" s="35" t="n">
        <v>0.7</v>
      </c>
      <c r="N33" s="35" t="n">
        <v>2.8</v>
      </c>
      <c r="O33" s="39" t="inlineStr">
        <is>
          <t>T3</t>
        </is>
      </c>
      <c r="P33" s="26" t="inlineStr">
        <is>
          <t>2025-05</t>
        </is>
      </c>
      <c r="Q33" s="26" t="inlineStr">
        <is>
          <t>Jegham et al. ~2.8 Wh per medium query, and the highest eco-efficiency rank among the frontier models benchmarked. The only Claude model with any independent measurement.</t>
        </is>
      </c>
      <c r="R33" s="26" t="inlineStr">
        <is>
          <t>arXiv:2505.09598</t>
        </is>
      </c>
      <c r="S33" s="26" t="inlineStr">
        <is>
          <t>legacy</t>
        </is>
      </c>
    </row>
    <row r="34">
      <c r="A34" s="26" t="inlineStr">
        <is>
          <t>Gemini (Apps median prompt)</t>
        </is>
      </c>
      <c r="B34" s="26" t="inlineStr">
        <is>
          <t>Google</t>
        </is>
      </c>
      <c r="C34" s="26" t="inlineStr">
        <is>
          <t>Proprietary</t>
        </is>
      </c>
      <c r="D34" s="26" t="inlineStr">
        <is>
          <t>proprietary</t>
        </is>
      </c>
      <c r="E34" s="26" t="inlineStr">
        <is>
          <t>Frontier</t>
        </is>
      </c>
      <c r="F34" s="26" t="inlineStr">
        <is>
          <t>undisclosed</t>
        </is>
      </c>
      <c r="G34" s="34" t="inlineStr"/>
      <c r="H34" s="34" t="inlineStr"/>
      <c r="I34" s="26" t="inlineStr">
        <is>
          <t>—</t>
        </is>
      </c>
      <c r="J34" s="26" t="inlineStr">
        <is>
          <t>2025-05</t>
        </is>
      </c>
      <c r="K34" s="26" t="inlineStr">
        <is>
          <t>mixed</t>
        </is>
      </c>
      <c r="L34" s="35" t="n">
        <v>0.65</v>
      </c>
      <c r="M34" s="35" t="n">
        <v>0.33</v>
      </c>
      <c r="N34" s="35" t="n">
        <v>1.3</v>
      </c>
      <c r="O34" s="37" t="inlineStr">
        <is>
          <t>T2</t>
        </is>
      </c>
      <c r="P34" s="26" t="inlineStr">
        <is>
          <t>2025-05</t>
        </is>
      </c>
      <c r="Q34" s="26" t="inlineStr">
        <is>
          <t>The strongest published boundary in the industry: 0.24 Wh, 0.03 g CO2e and 0.26 mL water for the median Gemini Apps TEXT prompt, measured May 2025, counting active accelerator (~58%), host CPU and DRAM (~25%), idle capacity (~10%) and facility overhead at PUE 1.09. Converted at an assumed ~350 output tokens. It is a fleet median across model tiers, not a per-model rate, and explicitly excludes extended-reasoning modes.</t>
        </is>
      </c>
      <c r="R34" s="26" t="inlineStr">
        <is>
          <t>arXiv:2508.15734 (Elsworth et al., Google, Aug 2025)</t>
        </is>
      </c>
      <c r="S34" s="26" t="inlineStr">
        <is>
          <t>current</t>
        </is>
      </c>
    </row>
    <row r="35">
      <c r="A35" s="26" t="inlineStr">
        <is>
          <t>Gemini 3.1 Pro</t>
        </is>
      </c>
      <c r="B35" s="26" t="inlineStr">
        <is>
          <t>Google</t>
        </is>
      </c>
      <c r="C35" s="26" t="inlineStr">
        <is>
          <t>Proprietary</t>
        </is>
      </c>
      <c r="D35" s="26" t="inlineStr">
        <is>
          <t>proprietary</t>
        </is>
      </c>
      <c r="E35" s="26" t="inlineStr">
        <is>
          <t>Frontier</t>
        </is>
      </c>
      <c r="F35" s="26" t="inlineStr">
        <is>
          <t>undisclosed</t>
        </is>
      </c>
      <c r="G35" s="34" t="inlineStr"/>
      <c r="H35" s="34" t="inlineStr"/>
      <c r="I35" s="26" t="inlineStr">
        <is>
          <t>1M</t>
        </is>
      </c>
      <c r="J35" s="26" t="inlineStr">
        <is>
          <t>2026-02</t>
        </is>
      </c>
      <c r="K35" s="26" t="inlineStr">
        <is>
          <t>always</t>
        </is>
      </c>
      <c r="L35" s="35" t="n">
        <v>0.8</v>
      </c>
      <c r="M35" s="35" t="n">
        <v>0.26</v>
      </c>
      <c r="N35" s="35" t="n">
        <v>2.5</v>
      </c>
      <c r="O35" s="36" t="inlineStr">
        <is>
          <t>T4</t>
        </is>
      </c>
      <c r="P35" s="26" t="inlineStr">
        <is>
          <t>2026-02</t>
        </is>
      </c>
      <c r="Q35" s="26" t="inlineStr">
        <is>
          <t>Class anchor for frontier closed-weight serving (§4.5): no parameter disclosure and no published per-request measurement, so the row carries the full T4 band. The ceiling for an API row is T2 and only the provider can lift it (§4.8). Anchored below the generic frontier class because Google's measured fleet median is the lowest published and its TPU fleet runs at PUE 1.09. No per-model figure exists.</t>
        </is>
      </c>
      <c r="R35" s="26" t="inlineStr">
        <is>
          <t>Google Gemini model cards (ai.google.dev / DeepMind), 2026</t>
        </is>
      </c>
      <c r="S35" s="26" t="inlineStr">
        <is>
          <t>current</t>
        </is>
      </c>
    </row>
    <row r="36">
      <c r="A36" s="26" t="inlineStr">
        <is>
          <t>Gemini 3 Pro</t>
        </is>
      </c>
      <c r="B36" s="26" t="inlineStr">
        <is>
          <t>Google</t>
        </is>
      </c>
      <c r="C36" s="26" t="inlineStr">
        <is>
          <t>Proprietary</t>
        </is>
      </c>
      <c r="D36" s="26" t="inlineStr">
        <is>
          <t>proprietary</t>
        </is>
      </c>
      <c r="E36" s="26" t="inlineStr">
        <is>
          <t>Frontier</t>
        </is>
      </c>
      <c r="F36" s="26" t="inlineStr">
        <is>
          <t>undisclosed</t>
        </is>
      </c>
      <c r="G36" s="34" t="inlineStr"/>
      <c r="H36" s="34" t="inlineStr"/>
      <c r="I36" s="26" t="inlineStr">
        <is>
          <t>1M</t>
        </is>
      </c>
      <c r="J36" s="26" t="inlineStr">
        <is>
          <t>2025-11</t>
        </is>
      </c>
      <c r="K36" s="26" t="inlineStr">
        <is>
          <t>always</t>
        </is>
      </c>
      <c r="L36" s="35" t="n">
        <v>0.8</v>
      </c>
      <c r="M36" s="35" t="n">
        <v>0.26</v>
      </c>
      <c r="N36" s="35" t="n">
        <v>2.5</v>
      </c>
      <c r="O36" s="36" t="inlineStr">
        <is>
          <t>T4</t>
        </is>
      </c>
      <c r="P36" s="26" t="inlineStr">
        <is>
          <t>2025-11</t>
        </is>
      </c>
      <c r="Q36" s="26" t="inlineStr">
        <is>
          <t>Class anchor for frontier closed-weight serving (§4.5): no parameter disclosure and no published per-request measurement, so the row carries the full T4 band. The ceiling for an API row is T2 and only the provider can lift it (§4.8). The only Gemini 3 card that discloses architecture: a sparse mixture-of-experts transformer. No parameter count is published for any Gemini model.</t>
        </is>
      </c>
      <c r="R36" s="26" t="inlineStr">
        <is>
          <t>Google Gemini model cards (ai.google.dev / DeepMind), 2026</t>
        </is>
      </c>
      <c r="S36" s="26" t="inlineStr">
        <is>
          <t>current</t>
        </is>
      </c>
    </row>
    <row r="37">
      <c r="A37" s="26" t="inlineStr">
        <is>
          <t>Gemini 3 Deep Think</t>
        </is>
      </c>
      <c r="B37" s="26" t="inlineStr">
        <is>
          <t>Google</t>
        </is>
      </c>
      <c r="C37" s="26" t="inlineStr">
        <is>
          <t>Proprietary</t>
        </is>
      </c>
      <c r="D37" s="26" t="inlineStr">
        <is>
          <t>proprietary</t>
        </is>
      </c>
      <c r="E37" s="26" t="inlineStr">
        <is>
          <t>Frontier</t>
        </is>
      </c>
      <c r="F37" s="26" t="inlineStr">
        <is>
          <t>undisclosed</t>
        </is>
      </c>
      <c r="G37" s="34" t="inlineStr"/>
      <c r="H37" s="34" t="inlineStr"/>
      <c r="I37" s="26" t="inlineStr">
        <is>
          <t>1M</t>
        </is>
      </c>
      <c r="J37" s="26" t="inlineStr">
        <is>
          <t>2026-02-12</t>
        </is>
      </c>
      <c r="K37" s="26" t="inlineStr">
        <is>
          <t>always</t>
        </is>
      </c>
      <c r="L37" s="35" t="n">
        <v>1.2</v>
      </c>
      <c r="M37" s="35" t="n">
        <v>0.39</v>
      </c>
      <c r="N37" s="35" t="n">
        <v>3.6</v>
      </c>
      <c r="O37" s="36" t="inlineStr">
        <is>
          <t>T4</t>
        </is>
      </c>
      <c r="P37" s="26" t="inlineStr">
        <is>
          <t>2026-02-12</t>
        </is>
      </c>
      <c r="Q37" s="26" t="inlineStr">
        <is>
          <t>Class anchor for frontier closed-weight serving (§4.5): no parameter disclosure and no published per-request measurement, so the row carries the full T4 band. The ceiling for an API row is T2 and only the provider can lift it (§4.8). An extended-reasoning mode, explicitly outside the boundary of Google's 0.24 Wh median. Published data bounds the per-request footprint of a Deep Think call nowhere — grade it on the Reasoning class and measure your own token counts.</t>
        </is>
      </c>
      <c r="R37" s="26" t="inlineStr">
        <is>
          <t>Google Gemini model cards (ai.google.dev / DeepMind), 2026</t>
        </is>
      </c>
      <c r="S37" s="26" t="inlineStr">
        <is>
          <t>current</t>
        </is>
      </c>
    </row>
    <row r="38">
      <c r="A38" s="26" t="inlineStr">
        <is>
          <t>Gemini 3.8 Flash</t>
        </is>
      </c>
      <c r="B38" s="26" t="inlineStr">
        <is>
          <t>Google</t>
        </is>
      </c>
      <c r="C38" s="26" t="inlineStr">
        <is>
          <t>Proprietary</t>
        </is>
      </c>
      <c r="D38" s="26" t="inlineStr">
        <is>
          <t>proprietary</t>
        </is>
      </c>
      <c r="E38" s="26" t="inlineStr">
        <is>
          <t>Mid</t>
        </is>
      </c>
      <c r="F38" s="26" t="inlineStr">
        <is>
          <t>undisclosed</t>
        </is>
      </c>
      <c r="G38" s="34" t="inlineStr"/>
      <c r="H38" s="34" t="inlineStr"/>
      <c r="I38" s="26" t="inlineStr">
        <is>
          <t>1M</t>
        </is>
      </c>
      <c r="J38" s="26" t="inlineStr">
        <is>
          <t>2026-09-02</t>
        </is>
      </c>
      <c r="K38" s="26" t="inlineStr">
        <is>
          <t>optional</t>
        </is>
      </c>
      <c r="L38" s="35" t="n">
        <v>0.3</v>
      </c>
      <c r="M38" s="35" t="n">
        <v>0.09</v>
      </c>
      <c r="N38" s="35" t="n">
        <v>0.9</v>
      </c>
      <c r="O38" s="36" t="inlineStr">
        <is>
          <t>T4</t>
        </is>
      </c>
      <c r="P38" s="26" t="inlineStr">
        <is>
          <t>2026-09-02</t>
        </is>
      </c>
      <c r="Q38" s="26" t="inlineStr">
        <is>
          <t>Class anchor for mid closed-weight serving (§4.5): no parameter disclosure and no published per-request measurement, so the row carries the full T4 band. The ceiling for an API row is T2 and only the provider can lift it (§4.8).</t>
        </is>
      </c>
      <c r="R38" s="26" t="inlineStr">
        <is>
          <t>Google Gemini model cards (ai.google.dev / DeepMind), 2026</t>
        </is>
      </c>
      <c r="S38" s="26" t="inlineStr">
        <is>
          <t>current</t>
        </is>
      </c>
    </row>
    <row r="39">
      <c r="A39" s="26" t="inlineStr">
        <is>
          <t>Gemini 3.7 Flash</t>
        </is>
      </c>
      <c r="B39" s="26" t="inlineStr">
        <is>
          <t>Google</t>
        </is>
      </c>
      <c r="C39" s="26" t="inlineStr">
        <is>
          <t>Proprietary</t>
        </is>
      </c>
      <c r="D39" s="26" t="inlineStr">
        <is>
          <t>proprietary</t>
        </is>
      </c>
      <c r="E39" s="26" t="inlineStr">
        <is>
          <t>Mid</t>
        </is>
      </c>
      <c r="F39" s="26" t="inlineStr">
        <is>
          <t>undisclosed</t>
        </is>
      </c>
      <c r="G39" s="34" t="inlineStr"/>
      <c r="H39" s="34" t="inlineStr"/>
      <c r="I39" s="26" t="inlineStr">
        <is>
          <t>1M</t>
        </is>
      </c>
      <c r="J39" s="26" t="inlineStr">
        <is>
          <t>2026-08</t>
        </is>
      </c>
      <c r="K39" s="26" t="inlineStr">
        <is>
          <t>optional</t>
        </is>
      </c>
      <c r="L39" s="35" t="n">
        <v>0.3</v>
      </c>
      <c r="M39" s="35" t="n">
        <v>0.09</v>
      </c>
      <c r="N39" s="35" t="n">
        <v>0.9</v>
      </c>
      <c r="O39" s="36" t="inlineStr">
        <is>
          <t>T4</t>
        </is>
      </c>
      <c r="P39" s="26" t="inlineStr">
        <is>
          <t>2026-08</t>
        </is>
      </c>
      <c r="Q39" s="26" t="inlineStr">
        <is>
          <t>Class anchor for mid closed-weight serving (§4.5): no parameter disclosure and no published per-request measurement, so the row carries the full T4 band. The ceiling for an API row is T2 and only the provider can lift it (§4.8).</t>
        </is>
      </c>
      <c r="R39" s="26" t="inlineStr">
        <is>
          <t>Google Gemini model cards (ai.google.dev / DeepMind), 2026</t>
        </is>
      </c>
      <c r="S39" s="26" t="inlineStr">
        <is>
          <t>current</t>
        </is>
      </c>
    </row>
    <row r="40">
      <c r="A40" s="26" t="inlineStr">
        <is>
          <t>Gemini 3.5 Flash</t>
        </is>
      </c>
      <c r="B40" s="26" t="inlineStr">
        <is>
          <t>Google</t>
        </is>
      </c>
      <c r="C40" s="26" t="inlineStr">
        <is>
          <t>Proprietary</t>
        </is>
      </c>
      <c r="D40" s="26" t="inlineStr">
        <is>
          <t>proprietary</t>
        </is>
      </c>
      <c r="E40" s="26" t="inlineStr">
        <is>
          <t>Mid</t>
        </is>
      </c>
      <c r="F40" s="26" t="inlineStr">
        <is>
          <t>undisclosed</t>
        </is>
      </c>
      <c r="G40" s="34" t="inlineStr"/>
      <c r="H40" s="34" t="inlineStr"/>
      <c r="I40" s="26" t="inlineStr">
        <is>
          <t>1M</t>
        </is>
      </c>
      <c r="J40" s="26" t="inlineStr">
        <is>
          <t>2026-05</t>
        </is>
      </c>
      <c r="K40" s="26" t="inlineStr">
        <is>
          <t>optional</t>
        </is>
      </c>
      <c r="L40" s="35" t="n">
        <v>0.3</v>
      </c>
      <c r="M40" s="35" t="n">
        <v>0.09</v>
      </c>
      <c r="N40" s="35" t="n">
        <v>0.9</v>
      </c>
      <c r="O40" s="36" t="inlineStr">
        <is>
          <t>T4</t>
        </is>
      </c>
      <c r="P40" s="26" t="inlineStr">
        <is>
          <t>2026-05</t>
        </is>
      </c>
      <c r="Q40" s="26" t="inlineStr">
        <is>
          <t>Class anchor for mid closed-weight serving (§4.5): no parameter disclosure and no published per-request measurement, so the row carries the full T4 band. The ceiling for an API row is T2 and only the provider can lift it (§4.8).</t>
        </is>
      </c>
      <c r="R40" s="26" t="inlineStr">
        <is>
          <t>Google Gemini model cards (ai.google.dev / DeepMind), 2026</t>
        </is>
      </c>
      <c r="S40" s="26" t="inlineStr">
        <is>
          <t>current</t>
        </is>
      </c>
    </row>
    <row r="41">
      <c r="A41" s="26" t="inlineStr">
        <is>
          <t>Gemini 3 Flash</t>
        </is>
      </c>
      <c r="B41" s="26" t="inlineStr">
        <is>
          <t>Google</t>
        </is>
      </c>
      <c r="C41" s="26" t="inlineStr">
        <is>
          <t>Proprietary</t>
        </is>
      </c>
      <c r="D41" s="26" t="inlineStr">
        <is>
          <t>proprietary</t>
        </is>
      </c>
      <c r="E41" s="26" t="inlineStr">
        <is>
          <t>Mid</t>
        </is>
      </c>
      <c r="F41" s="26" t="inlineStr">
        <is>
          <t>undisclosed</t>
        </is>
      </c>
      <c r="G41" s="34" t="inlineStr"/>
      <c r="H41" s="34" t="inlineStr"/>
      <c r="I41" s="26" t="inlineStr">
        <is>
          <t>1M</t>
        </is>
      </c>
      <c r="J41" s="26" t="inlineStr">
        <is>
          <t>2025-12-17</t>
        </is>
      </c>
      <c r="K41" s="26" t="inlineStr">
        <is>
          <t>optional</t>
        </is>
      </c>
      <c r="L41" s="35" t="n">
        <v>0.3</v>
      </c>
      <c r="M41" s="35" t="n">
        <v>0.09</v>
      </c>
      <c r="N41" s="35" t="n">
        <v>0.9</v>
      </c>
      <c r="O41" s="36" t="inlineStr">
        <is>
          <t>T4</t>
        </is>
      </c>
      <c r="P41" s="26" t="inlineStr">
        <is>
          <t>2025-12-17</t>
        </is>
      </c>
      <c r="Q41" s="26" t="inlineStr">
        <is>
          <t>Class anchor for mid closed-weight serving (§4.5): no parameter disclosure and no published per-request measurement, so the row carries the full T4 band. The ceiling for an API row is T2 and only the provider can lift it (§4.8).</t>
        </is>
      </c>
      <c r="R41" s="26" t="inlineStr">
        <is>
          <t>Google Gemini model cards (ai.google.dev / DeepMind), 2026</t>
        </is>
      </c>
      <c r="S41" s="26" t="inlineStr">
        <is>
          <t>current</t>
        </is>
      </c>
    </row>
    <row r="42">
      <c r="A42" s="26" t="inlineStr">
        <is>
          <t>Gemini 3.5 Flash-Lite</t>
        </is>
      </c>
      <c r="B42" s="26" t="inlineStr">
        <is>
          <t>Google</t>
        </is>
      </c>
      <c r="C42" s="26" t="inlineStr">
        <is>
          <t>Proprietary</t>
        </is>
      </c>
      <c r="D42" s="26" t="inlineStr">
        <is>
          <t>proprietary</t>
        </is>
      </c>
      <c r="E42" s="26" t="inlineStr">
        <is>
          <t>Small</t>
        </is>
      </c>
      <c r="F42" s="26" t="inlineStr">
        <is>
          <t>undisclosed</t>
        </is>
      </c>
      <c r="G42" s="34" t="inlineStr"/>
      <c r="H42" s="34" t="inlineStr"/>
      <c r="I42" s="26" t="inlineStr">
        <is>
          <t>1M</t>
        </is>
      </c>
      <c r="J42" s="26" t="inlineStr">
        <is>
          <t>2026-07</t>
        </is>
      </c>
      <c r="K42" s="26" t="inlineStr">
        <is>
          <t>optional</t>
        </is>
      </c>
      <c r="L42" s="35" t="n">
        <v>0.12</v>
      </c>
      <c r="M42" s="35" t="n">
        <v>0.04</v>
      </c>
      <c r="N42" s="35" t="n">
        <v>0.36</v>
      </c>
      <c r="O42" s="36" t="inlineStr">
        <is>
          <t>T4</t>
        </is>
      </c>
      <c r="P42" s="26" t="inlineStr">
        <is>
          <t>2026-07</t>
        </is>
      </c>
      <c r="Q42" s="26" t="inlineStr">
        <is>
          <t>Class anchor for small closed-weight serving (§4.5): no parameter disclosure and no published per-request measurement, so the row carries the full T4 band. The ceiling for an API row is T2 and only the provider can lift it (§4.8).</t>
        </is>
      </c>
      <c r="R42" s="26" t="inlineStr">
        <is>
          <t>Google Gemini model cards (ai.google.dev / DeepMind), 2026</t>
        </is>
      </c>
      <c r="S42" s="26" t="inlineStr">
        <is>
          <t>current</t>
        </is>
      </c>
    </row>
    <row r="43">
      <c r="A43" s="26" t="inlineStr">
        <is>
          <t>Gemini 3.1 Flash-Lite</t>
        </is>
      </c>
      <c r="B43" s="26" t="inlineStr">
        <is>
          <t>Google</t>
        </is>
      </c>
      <c r="C43" s="26" t="inlineStr">
        <is>
          <t>Proprietary</t>
        </is>
      </c>
      <c r="D43" s="26" t="inlineStr">
        <is>
          <t>proprietary</t>
        </is>
      </c>
      <c r="E43" s="26" t="inlineStr">
        <is>
          <t>Small</t>
        </is>
      </c>
      <c r="F43" s="26" t="inlineStr">
        <is>
          <t>undisclosed</t>
        </is>
      </c>
      <c r="G43" s="34" t="inlineStr"/>
      <c r="H43" s="34" t="inlineStr"/>
      <c r="I43" s="26" t="inlineStr">
        <is>
          <t>1M</t>
        </is>
      </c>
      <c r="J43" s="26" t="inlineStr">
        <is>
          <t>2026-05</t>
        </is>
      </c>
      <c r="K43" s="26" t="inlineStr">
        <is>
          <t>optional</t>
        </is>
      </c>
      <c r="L43" s="35" t="n">
        <v>0.12</v>
      </c>
      <c r="M43" s="35" t="n">
        <v>0.04</v>
      </c>
      <c r="N43" s="35" t="n">
        <v>0.36</v>
      </c>
      <c r="O43" s="36" t="inlineStr">
        <is>
          <t>T4</t>
        </is>
      </c>
      <c r="P43" s="26" t="inlineStr">
        <is>
          <t>2026-05</t>
        </is>
      </c>
      <c r="Q43" s="26" t="inlineStr">
        <is>
          <t>Class anchor for small closed-weight serving (§4.5): no parameter disclosure and no published per-request measurement, so the row carries the full T4 band. The ceiling for an API row is T2 and only the provider can lift it (§4.8).</t>
        </is>
      </c>
      <c r="R43" s="26" t="inlineStr">
        <is>
          <t>Google Gemini model cards (ai.google.dev / DeepMind), 2026</t>
        </is>
      </c>
      <c r="S43" s="26" t="inlineStr">
        <is>
          <t>current</t>
        </is>
      </c>
    </row>
    <row r="44">
      <c r="A44" s="26" t="inlineStr">
        <is>
          <t>Gemini 2.5 Pro</t>
        </is>
      </c>
      <c r="B44" s="26" t="inlineStr">
        <is>
          <t>Google</t>
        </is>
      </c>
      <c r="C44" s="26" t="inlineStr">
        <is>
          <t>Proprietary</t>
        </is>
      </c>
      <c r="D44" s="26" t="inlineStr">
        <is>
          <t>proprietary</t>
        </is>
      </c>
      <c r="E44" s="26" t="inlineStr">
        <is>
          <t>Frontier</t>
        </is>
      </c>
      <c r="F44" s="26" t="inlineStr">
        <is>
          <t>undisclosed</t>
        </is>
      </c>
      <c r="G44" s="34" t="inlineStr"/>
      <c r="H44" s="34" t="inlineStr"/>
      <c r="I44" s="26" t="inlineStr">
        <is>
          <t>1M</t>
        </is>
      </c>
      <c r="J44" s="26" t="inlineStr">
        <is>
          <t>2025-03</t>
        </is>
      </c>
      <c r="K44" s="26" t="inlineStr">
        <is>
          <t>always</t>
        </is>
      </c>
      <c r="L44" s="35" t="n">
        <v>0.8</v>
      </c>
      <c r="M44" s="35" t="n">
        <v>0.26</v>
      </c>
      <c r="N44" s="35" t="n">
        <v>2.5</v>
      </c>
      <c r="O44" s="36" t="inlineStr">
        <is>
          <t>T4</t>
        </is>
      </c>
      <c r="P44" s="26" t="inlineStr">
        <is>
          <t>2025-03</t>
        </is>
      </c>
      <c r="Q44" s="26" t="inlineStr">
        <is>
          <t>Class anchor for frontier closed-weight serving (§4.5): no parameter disclosure and no published per-request measurement, so the row carries the full T4 band. The ceiling for an API row is T2 and only the provider can lift it (§4.8).</t>
        </is>
      </c>
      <c r="R44" s="26" t="inlineStr">
        <is>
          <t>Google Gemini model cards (ai.google.dev / DeepMind), 2026</t>
        </is>
      </c>
      <c r="S44" s="26" t="inlineStr">
        <is>
          <t>legacy</t>
        </is>
      </c>
    </row>
    <row r="45">
      <c r="A45" s="26" t="inlineStr">
        <is>
          <t>Gemini 2.5 Flash</t>
        </is>
      </c>
      <c r="B45" s="26" t="inlineStr">
        <is>
          <t>Google</t>
        </is>
      </c>
      <c r="C45" s="26" t="inlineStr">
        <is>
          <t>Proprietary</t>
        </is>
      </c>
      <c r="D45" s="26" t="inlineStr">
        <is>
          <t>proprietary</t>
        </is>
      </c>
      <c r="E45" s="26" t="inlineStr">
        <is>
          <t>Mid</t>
        </is>
      </c>
      <c r="F45" s="26" t="inlineStr">
        <is>
          <t>undisclosed</t>
        </is>
      </c>
      <c r="G45" s="34" t="inlineStr"/>
      <c r="H45" s="34" t="inlineStr"/>
      <c r="I45" s="26" t="inlineStr">
        <is>
          <t>1M</t>
        </is>
      </c>
      <c r="J45" s="26" t="inlineStr">
        <is>
          <t>2025-04</t>
        </is>
      </c>
      <c r="K45" s="26" t="inlineStr">
        <is>
          <t>optional</t>
        </is>
      </c>
      <c r="L45" s="35" t="n">
        <v>0.3</v>
      </c>
      <c r="M45" s="35" t="n">
        <v>0.09</v>
      </c>
      <c r="N45" s="35" t="n">
        <v>0.9</v>
      </c>
      <c r="O45" s="36" t="inlineStr">
        <is>
          <t>T4</t>
        </is>
      </c>
      <c r="P45" s="26" t="inlineStr">
        <is>
          <t>2025-04</t>
        </is>
      </c>
      <c r="Q45" s="26" t="inlineStr">
        <is>
          <t>Class anchor for mid closed-weight serving (§4.5): no parameter disclosure and no published per-request measurement, so the row carries the full T4 band. The ceiling for an API row is T2 and only the provider can lift it (§4.8).</t>
        </is>
      </c>
      <c r="R45" s="26" t="inlineStr">
        <is>
          <t>Google Gemini model cards (ai.google.dev / DeepMind), 2026</t>
        </is>
      </c>
      <c r="S45" s="26" t="inlineStr">
        <is>
          <t>legacy</t>
        </is>
      </c>
    </row>
    <row r="46">
      <c r="A46" s="26" t="inlineStr">
        <is>
          <t>Gemma 4 31B</t>
        </is>
      </c>
      <c r="B46" s="26" t="inlineStr">
        <is>
          <t>Google</t>
        </is>
      </c>
      <c r="C46" s="38" t="inlineStr">
        <is>
          <t>Open</t>
        </is>
      </c>
      <c r="D46" s="26" t="inlineStr">
        <is>
          <t>Gemma Terms of Use</t>
        </is>
      </c>
      <c r="E46" s="26" t="inlineStr">
        <is>
          <t>Mid</t>
        </is>
      </c>
      <c r="F46" s="26" t="inlineStr">
        <is>
          <t>dense</t>
        </is>
      </c>
      <c r="G46" s="34" t="n">
        <v>31</v>
      </c>
      <c r="H46" s="34" t="n">
        <v>31</v>
      </c>
      <c r="I46" s="26" t="inlineStr">
        <is>
          <t>128K</t>
        </is>
      </c>
      <c r="J46" s="26" t="inlineStr">
        <is>
          <t>2026-04-02</t>
        </is>
      </c>
      <c r="K46" s="26" t="inlineStr">
        <is>
          <t>optional</t>
        </is>
      </c>
      <c r="L46" s="35" t="n">
        <v>0.07000000000000001</v>
      </c>
      <c r="M46" s="35" t="n">
        <v>0.023</v>
      </c>
      <c r="N46" s="35" t="n">
        <v>0.21</v>
      </c>
      <c r="O46" s="36" t="inlineStr">
        <is>
          <t>T4</t>
        </is>
      </c>
      <c r="P46" s="26" t="inlineStr">
        <is>
          <t>2026-04-02</t>
        </is>
      </c>
      <c r="Q46" s="26" t="inlineStr">
        <is>
          <t>T4-physics(A=31): e_out = 2*N_active/(eta*u*3600)*S with eta=1.4e12 FLOPs/J (H100-class BF16), u=0.3, S=1.7. Open weights, so this row can be moved to T1 by metering your own deployment (§4.8).</t>
        </is>
      </c>
      <c r="R46" s="26" t="inlineStr">
        <is>
          <t>Google Gemma 4 model cards (April–June 2026)</t>
        </is>
      </c>
      <c r="S46" s="26" t="inlineStr">
        <is>
          <t>current</t>
        </is>
      </c>
    </row>
    <row r="47">
      <c r="A47" s="26" t="inlineStr">
        <is>
          <t>Gemma 4 26B-A4B</t>
        </is>
      </c>
      <c r="B47" s="26" t="inlineStr">
        <is>
          <t>Google</t>
        </is>
      </c>
      <c r="C47" s="38" t="inlineStr">
        <is>
          <t>Open</t>
        </is>
      </c>
      <c r="D47" s="26" t="inlineStr">
        <is>
          <t>Gemma Terms of Use</t>
        </is>
      </c>
      <c r="E47" s="26" t="inlineStr">
        <is>
          <t>Mid</t>
        </is>
      </c>
      <c r="F47" s="26" t="inlineStr">
        <is>
          <t>MoE</t>
        </is>
      </c>
      <c r="G47" s="34" t="n">
        <v>26</v>
      </c>
      <c r="H47" s="34" t="n">
        <v>3.8</v>
      </c>
      <c r="I47" s="26" t="inlineStr">
        <is>
          <t>128K</t>
        </is>
      </c>
      <c r="J47" s="26" t="inlineStr">
        <is>
          <t>2026-04-02</t>
        </is>
      </c>
      <c r="K47" s="26" t="inlineStr">
        <is>
          <t>optional</t>
        </is>
      </c>
      <c r="L47" s="35" t="n">
        <v>0.008500000000000001</v>
      </c>
      <c r="M47" s="35" t="n">
        <v>0.0028</v>
      </c>
      <c r="N47" s="35" t="n">
        <v>0.026</v>
      </c>
      <c r="O47" s="36" t="inlineStr">
        <is>
          <t>T4</t>
        </is>
      </c>
      <c r="P47" s="26" t="inlineStr">
        <is>
          <t>2026-04-02</t>
        </is>
      </c>
      <c r="Q47" s="26" t="inlineStr">
        <is>
          <t>T4-physics(A=3.8): e_out = 2*N_active/(eta*u*3600)*S with eta=1.4e12 FLOPs/J (H100-class BF16), u=0.3, S=1.7. Open weights, so this row can be moved to T1 by metering your own deployment (§4.8).</t>
        </is>
      </c>
      <c r="R47" s="26" t="inlineStr">
        <is>
          <t>Google Gemma 4 model cards (April–June 2026)</t>
        </is>
      </c>
      <c r="S47" s="26" t="inlineStr">
        <is>
          <t>current</t>
        </is>
      </c>
    </row>
    <row r="48">
      <c r="A48" s="26" t="inlineStr">
        <is>
          <t>Gemma 4 12B</t>
        </is>
      </c>
      <c r="B48" s="26" t="inlineStr">
        <is>
          <t>Google</t>
        </is>
      </c>
      <c r="C48" s="38" t="inlineStr">
        <is>
          <t>Open</t>
        </is>
      </c>
      <c r="D48" s="26" t="inlineStr">
        <is>
          <t>Gemma Terms of Use</t>
        </is>
      </c>
      <c r="E48" s="26" t="inlineStr">
        <is>
          <t>Small</t>
        </is>
      </c>
      <c r="F48" s="26" t="inlineStr">
        <is>
          <t>dense</t>
        </is>
      </c>
      <c r="G48" s="34" t="n">
        <v>12</v>
      </c>
      <c r="H48" s="34" t="n">
        <v>12</v>
      </c>
      <c r="I48" s="26" t="inlineStr">
        <is>
          <t>128K</t>
        </is>
      </c>
      <c r="J48" s="26" t="inlineStr">
        <is>
          <t>2026-06-03</t>
        </is>
      </c>
      <c r="K48" s="26" t="inlineStr">
        <is>
          <t>optional</t>
        </is>
      </c>
      <c r="L48" s="35" t="n">
        <v>0.027</v>
      </c>
      <c r="M48" s="35" t="n">
        <v>0.0089</v>
      </c>
      <c r="N48" s="35" t="n">
        <v>0.081</v>
      </c>
      <c r="O48" s="36" t="inlineStr">
        <is>
          <t>T4</t>
        </is>
      </c>
      <c r="P48" s="26" t="inlineStr">
        <is>
          <t>2026-06-03</t>
        </is>
      </c>
      <c r="Q48" s="26" t="inlineStr">
        <is>
          <t>T4-physics(A=12): e_out = 2*N_active/(eta*u*3600)*S with eta=1.4e12 FLOPs/J (H100-class BF16), u=0.3, S=1.7. Open weights, so this row can be moved to T1 by metering your own deployment (§4.8).</t>
        </is>
      </c>
      <c r="R48" s="26" t="inlineStr">
        <is>
          <t>Google Gemma 4 model cards (April–June 2026)</t>
        </is>
      </c>
      <c r="S48" s="26" t="inlineStr">
        <is>
          <t>current</t>
        </is>
      </c>
    </row>
    <row r="49">
      <c r="A49" s="26" t="inlineStr">
        <is>
          <t>Gemma 4 E4B</t>
        </is>
      </c>
      <c r="B49" s="26" t="inlineStr">
        <is>
          <t>Google</t>
        </is>
      </c>
      <c r="C49" s="38" t="inlineStr">
        <is>
          <t>Open</t>
        </is>
      </c>
      <c r="D49" s="26" t="inlineStr">
        <is>
          <t>Gemma Terms of Use</t>
        </is>
      </c>
      <c r="E49" s="26" t="inlineStr">
        <is>
          <t>Tiny</t>
        </is>
      </c>
      <c r="F49" s="26" t="inlineStr">
        <is>
          <t>dense</t>
        </is>
      </c>
      <c r="G49" s="34" t="n">
        <v>4.5</v>
      </c>
      <c r="H49" s="34" t="n">
        <v>4.5</v>
      </c>
      <c r="I49" s="26" t="inlineStr">
        <is>
          <t>128K</t>
        </is>
      </c>
      <c r="J49" s="26" t="inlineStr">
        <is>
          <t>2026-04-02</t>
        </is>
      </c>
      <c r="K49" s="26" t="inlineStr">
        <is>
          <t>optional</t>
        </is>
      </c>
      <c r="L49" s="35" t="n">
        <v>0.01</v>
      </c>
      <c r="M49" s="35" t="n">
        <v>0.0033</v>
      </c>
      <c r="N49" s="35" t="n">
        <v>0.03</v>
      </c>
      <c r="O49" s="36" t="inlineStr">
        <is>
          <t>T4</t>
        </is>
      </c>
      <c r="P49" s="26" t="inlineStr">
        <is>
          <t>2026-04-02</t>
        </is>
      </c>
      <c r="Q49" s="26" t="inlineStr">
        <is>
          <t>T4-physics(A=4.5): e_out = 2*N_active/(eta*u*3600)*S with eta=1.4e12 FLOPs/J (H100-class BF16), u=0.3, S=1.7. Open weights, so this row can be moved to T1 by metering your own deployment (§4.8). Effective-parameter variant for on-device serving.</t>
        </is>
      </c>
      <c r="R49" s="26" t="inlineStr">
        <is>
          <t>Google Gemma 4 model cards (April–June 2026)</t>
        </is>
      </c>
      <c r="S49" s="26" t="inlineStr">
        <is>
          <t>current</t>
        </is>
      </c>
    </row>
    <row r="50">
      <c r="A50" s="26" t="inlineStr">
        <is>
          <t>Gemma 4 E2B</t>
        </is>
      </c>
      <c r="B50" s="26" t="inlineStr">
        <is>
          <t>Google</t>
        </is>
      </c>
      <c r="C50" s="38" t="inlineStr">
        <is>
          <t>Open</t>
        </is>
      </c>
      <c r="D50" s="26" t="inlineStr">
        <is>
          <t>Gemma Terms of Use</t>
        </is>
      </c>
      <c r="E50" s="26" t="inlineStr">
        <is>
          <t>Tiny</t>
        </is>
      </c>
      <c r="F50" s="26" t="inlineStr">
        <is>
          <t>dense</t>
        </is>
      </c>
      <c r="G50" s="34" t="n">
        <v>2.3</v>
      </c>
      <c r="H50" s="34" t="n">
        <v>2.3</v>
      </c>
      <c r="I50" s="26" t="inlineStr">
        <is>
          <t>128K</t>
        </is>
      </c>
      <c r="J50" s="26" t="inlineStr">
        <is>
          <t>2026-04-02</t>
        </is>
      </c>
      <c r="K50" s="26" t="inlineStr">
        <is>
          <t>optional</t>
        </is>
      </c>
      <c r="L50" s="35" t="n">
        <v>0.0052</v>
      </c>
      <c r="M50" s="35" t="n">
        <v>0.0017</v>
      </c>
      <c r="N50" s="35" t="n">
        <v>0.016</v>
      </c>
      <c r="O50" s="36" t="inlineStr">
        <is>
          <t>T4</t>
        </is>
      </c>
      <c r="P50" s="26" t="inlineStr">
        <is>
          <t>2026-04-02</t>
        </is>
      </c>
      <c r="Q50" s="26" t="inlineStr">
        <is>
          <t>T4-physics(A=2.3): e_out = 2*N_active/(eta*u*3600)*S with eta=1.4e12 FLOPs/J (H100-class BF16), u=0.3, S=1.7. Open weights, so this row can be moved to T1 by metering your own deployment (§4.8).</t>
        </is>
      </c>
      <c r="R50" s="26" t="inlineStr">
        <is>
          <t>Google Gemma 4 model cards (April–June 2026)</t>
        </is>
      </c>
      <c r="S50" s="26" t="inlineStr">
        <is>
          <t>current</t>
        </is>
      </c>
    </row>
    <row r="51">
      <c r="A51" s="26" t="inlineStr">
        <is>
          <t>Muse Spark 1.3</t>
        </is>
      </c>
      <c r="B51" s="26" t="inlineStr">
        <is>
          <t>Meta</t>
        </is>
      </c>
      <c r="C51" s="26" t="inlineStr">
        <is>
          <t>Proprietary</t>
        </is>
      </c>
      <c r="D51" s="26" t="inlineStr">
        <is>
          <t>proprietary</t>
        </is>
      </c>
      <c r="E51" s="26" t="inlineStr">
        <is>
          <t>Frontier</t>
        </is>
      </c>
      <c r="F51" s="26" t="inlineStr">
        <is>
          <t>undisclosed</t>
        </is>
      </c>
      <c r="G51" s="34" t="inlineStr"/>
      <c r="H51" s="34" t="inlineStr"/>
      <c r="I51" s="26" t="inlineStr">
        <is>
          <t>—</t>
        </is>
      </c>
      <c r="J51" s="26" t="inlineStr">
        <is>
          <t>2026-09-02</t>
        </is>
      </c>
      <c r="K51" s="26" t="inlineStr">
        <is>
          <t>optional</t>
        </is>
      </c>
      <c r="L51" s="35" t="n">
        <v>1.2</v>
      </c>
      <c r="M51" s="35" t="n">
        <v>0.39</v>
      </c>
      <c r="N51" s="35" t="n">
        <v>3.6</v>
      </c>
      <c r="O51" s="36" t="inlineStr">
        <is>
          <t>T4</t>
        </is>
      </c>
      <c r="P51" s="26" t="inlineStr">
        <is>
          <t>2026-09-02</t>
        </is>
      </c>
      <c r="Q51" s="26" t="inlineStr">
        <is>
          <t>Class anchor for frontier closed-weight serving (§4.5): no parameter disclosure and no published per-request measurement, so the row carries the full T4 band. The ceiling for an API row is T2 and only the provider can lift it (§4.8). Meta's frontier line went closed-weight with Muse Spark; no model card energy figures are published for it.</t>
        </is>
      </c>
      <c r="R51" s="26" t="inlineStr">
        <is>
          <t>Meta model cards (meta-llama/llama-models, facebookresearch) and product announcements, 2026</t>
        </is>
      </c>
      <c r="S51" s="26" t="inlineStr">
        <is>
          <t>current</t>
        </is>
      </c>
    </row>
    <row r="52">
      <c r="A52" s="26" t="inlineStr">
        <is>
          <t>Muse Spark 1.2</t>
        </is>
      </c>
      <c r="B52" s="26" t="inlineStr">
        <is>
          <t>Meta</t>
        </is>
      </c>
      <c r="C52" s="26" t="inlineStr">
        <is>
          <t>Proprietary</t>
        </is>
      </c>
      <c r="D52" s="26" t="inlineStr">
        <is>
          <t>proprietary</t>
        </is>
      </c>
      <c r="E52" s="26" t="inlineStr">
        <is>
          <t>Frontier</t>
        </is>
      </c>
      <c r="F52" s="26" t="inlineStr">
        <is>
          <t>undisclosed</t>
        </is>
      </c>
      <c r="G52" s="34" t="inlineStr"/>
      <c r="H52" s="34" t="inlineStr"/>
      <c r="I52" s="26" t="inlineStr">
        <is>
          <t>—</t>
        </is>
      </c>
      <c r="J52" s="26" t="inlineStr">
        <is>
          <t>2026-08-05</t>
        </is>
      </c>
      <c r="K52" s="26" t="inlineStr">
        <is>
          <t>optional</t>
        </is>
      </c>
      <c r="L52" s="35" t="n">
        <v>1.2</v>
      </c>
      <c r="M52" s="35" t="n">
        <v>0.39</v>
      </c>
      <c r="N52" s="35" t="n">
        <v>3.6</v>
      </c>
      <c r="O52" s="36" t="inlineStr">
        <is>
          <t>T4</t>
        </is>
      </c>
      <c r="P52" s="26" t="inlineStr">
        <is>
          <t>2026-08-05</t>
        </is>
      </c>
      <c r="Q52" s="26" t="inlineStr">
        <is>
          <t>Class anchor for frontier closed-weight serving (§4.5): no parameter disclosure and no published per-request measurement, so the row carries the full T4 band. The ceiling for an API row is T2 and only the provider can lift it (§4.8).</t>
        </is>
      </c>
      <c r="R52" s="26" t="inlineStr">
        <is>
          <t>Meta model cards (meta-llama/llama-models, facebookresearch) and product announcements, 2026</t>
        </is>
      </c>
      <c r="S52" s="26" t="inlineStr">
        <is>
          <t>current</t>
        </is>
      </c>
    </row>
    <row r="53">
      <c r="A53" s="26" t="inlineStr">
        <is>
          <t>Muse Glimmer 30B</t>
        </is>
      </c>
      <c r="B53" s="26" t="inlineStr">
        <is>
          <t>Meta</t>
        </is>
      </c>
      <c r="C53" s="38" t="inlineStr">
        <is>
          <t>Open</t>
        </is>
      </c>
      <c r="D53" s="26" t="inlineStr">
        <is>
          <t>Apache-2.0</t>
        </is>
      </c>
      <c r="E53" s="26" t="inlineStr">
        <is>
          <t>Mid</t>
        </is>
      </c>
      <c r="F53" s="26" t="inlineStr">
        <is>
          <t>dense</t>
        </is>
      </c>
      <c r="G53" s="34" t="n">
        <v>29.6</v>
      </c>
      <c r="H53" s="34" t="n">
        <v>29.6</v>
      </c>
      <c r="I53" s="26" t="inlineStr">
        <is>
          <t>128K</t>
        </is>
      </c>
      <c r="J53" s="26" t="inlineStr">
        <is>
          <t>2026-08-10</t>
        </is>
      </c>
      <c r="K53" s="26" t="inlineStr">
        <is>
          <t>optional</t>
        </is>
      </c>
      <c r="L53" s="35" t="n">
        <v>0.067</v>
      </c>
      <c r="M53" s="35" t="n">
        <v>0.022</v>
      </c>
      <c r="N53" s="35" t="n">
        <v>0.21</v>
      </c>
      <c r="O53" s="36" t="inlineStr">
        <is>
          <t>T4</t>
        </is>
      </c>
      <c r="P53" s="26" t="inlineStr">
        <is>
          <t>2026-08-10</t>
        </is>
      </c>
      <c r="Q53" s="26" t="inlineStr">
        <is>
          <t>T4-physics(A=29.6): e_out = 2*N_active/(eta*u*3600)*S with eta=1.4e12 FLOPs/J (H100-class BF16), u=0.3, S=1.7. Open weights, so this row can be moved to T1 by metering your own deployment (§4.8). Meta's partial return to open weights after the Muse Spark line went closed.</t>
        </is>
      </c>
      <c r="R53" s="26" t="inlineStr">
        <is>
          <t>Meta model cards (meta-llama/llama-models, facebookresearch) and product announcements, 2026</t>
        </is>
      </c>
      <c r="S53" s="26" t="inlineStr">
        <is>
          <t>current</t>
        </is>
      </c>
    </row>
    <row r="54">
      <c r="A54" s="26" t="inlineStr">
        <is>
          <t>Llama 4 Maverick</t>
        </is>
      </c>
      <c r="B54" s="26" t="inlineStr">
        <is>
          <t>Meta</t>
        </is>
      </c>
      <c r="C54" s="38" t="inlineStr">
        <is>
          <t>Open</t>
        </is>
      </c>
      <c r="D54" s="26" t="inlineStr">
        <is>
          <t>Llama 4 Community</t>
        </is>
      </c>
      <c r="E54" s="26" t="inlineStr">
        <is>
          <t>Mid</t>
        </is>
      </c>
      <c r="F54" s="26" t="inlineStr">
        <is>
          <t>MoE</t>
        </is>
      </c>
      <c r="G54" s="34" t="n">
        <v>400</v>
      </c>
      <c r="H54" s="34" t="n">
        <v>17</v>
      </c>
      <c r="I54" s="26" t="inlineStr">
        <is>
          <t>1M</t>
        </is>
      </c>
      <c r="J54" s="26" t="inlineStr">
        <is>
          <t>2025-04-05</t>
        </is>
      </c>
      <c r="K54" s="26" t="inlineStr">
        <is>
          <t>no</t>
        </is>
      </c>
      <c r="L54" s="35" t="n">
        <v>0.038</v>
      </c>
      <c r="M54" s="35" t="n">
        <v>0.012</v>
      </c>
      <c r="N54" s="35" t="n">
        <v>0.12</v>
      </c>
      <c r="O54" s="36" t="inlineStr">
        <is>
          <t>T4</t>
        </is>
      </c>
      <c r="P54" s="26" t="inlineStr">
        <is>
          <t>2025-04-05</t>
        </is>
      </c>
      <c r="Q54" s="26" t="inlineStr">
        <is>
          <t>T4-physics(A=17): e_out = 2*N_active/(eta*u*3600)*S with eta=1.4e12 FLOPs/J (H100-class BF16), u=0.3, S=1.7. Open weights, so this row can be moved to T1 by metering your own deployment (§4.8). 17B active of 400B total: energy tracks the 17B, memory tracks the 400B. Conflating the two overstates this row roughly 20-fold.</t>
        </is>
      </c>
      <c r="R54" s="26" t="inlineStr">
        <is>
          <t>Meta Llama 4 model card (April 2025)</t>
        </is>
      </c>
      <c r="S54" s="26" t="inlineStr">
        <is>
          <t>current</t>
        </is>
      </c>
    </row>
    <row r="55">
      <c r="A55" s="26" t="inlineStr">
        <is>
          <t>Llama 4 Scout</t>
        </is>
      </c>
      <c r="B55" s="26" t="inlineStr">
        <is>
          <t>Meta</t>
        </is>
      </c>
      <c r="C55" s="38" t="inlineStr">
        <is>
          <t>Open</t>
        </is>
      </c>
      <c r="D55" s="26" t="inlineStr">
        <is>
          <t>Llama 4 Community</t>
        </is>
      </c>
      <c r="E55" s="26" t="inlineStr">
        <is>
          <t>Mid</t>
        </is>
      </c>
      <c r="F55" s="26" t="inlineStr">
        <is>
          <t>MoE</t>
        </is>
      </c>
      <c r="G55" s="34" t="n">
        <v>109</v>
      </c>
      <c r="H55" s="34" t="n">
        <v>17</v>
      </c>
      <c r="I55" s="26" t="inlineStr">
        <is>
          <t>10M</t>
        </is>
      </c>
      <c r="J55" s="26" t="inlineStr">
        <is>
          <t>2025-04-05</t>
        </is>
      </c>
      <c r="K55" s="26" t="inlineStr">
        <is>
          <t>no</t>
        </is>
      </c>
      <c r="L55" s="35" t="n">
        <v>0.038</v>
      </c>
      <c r="M55" s="35" t="n">
        <v>0.012</v>
      </c>
      <c r="N55" s="35" t="n">
        <v>0.12</v>
      </c>
      <c r="O55" s="36" t="inlineStr">
        <is>
          <t>T4</t>
        </is>
      </c>
      <c r="P55" s="26" t="inlineStr">
        <is>
          <t>2025-04-05</t>
        </is>
      </c>
      <c r="Q55" s="26" t="inlineStr">
        <is>
          <t>T4-physics(A=17): e_out = 2*N_active/(eta*u*3600)*S with eta=1.4e12 FLOPs/J (H100-class BF16), u=0.3, S=1.7. Open weights, so this row can be moved to T1 by metering your own deployment (§4.8).</t>
        </is>
      </c>
      <c r="R55" s="26" t="inlineStr">
        <is>
          <t>Meta Llama 4 model card (April 2025)</t>
        </is>
      </c>
      <c r="S55" s="26" t="inlineStr">
        <is>
          <t>current</t>
        </is>
      </c>
    </row>
    <row r="56">
      <c r="A56" s="26" t="inlineStr">
        <is>
          <t>Llama 3.2 3B</t>
        </is>
      </c>
      <c r="B56" s="26" t="inlineStr">
        <is>
          <t>Meta</t>
        </is>
      </c>
      <c r="C56" s="38" t="inlineStr">
        <is>
          <t>Open</t>
        </is>
      </c>
      <c r="D56" s="26" t="inlineStr">
        <is>
          <t>Llama 3.2 Community</t>
        </is>
      </c>
      <c r="E56" s="26" t="inlineStr">
        <is>
          <t>Tiny</t>
        </is>
      </c>
      <c r="F56" s="26" t="inlineStr">
        <is>
          <t>dense</t>
        </is>
      </c>
      <c r="G56" s="34" t="n">
        <v>3</v>
      </c>
      <c r="H56" s="34" t="n">
        <v>3</v>
      </c>
      <c r="I56" s="26" t="inlineStr">
        <is>
          <t>128K</t>
        </is>
      </c>
      <c r="J56" s="26" t="inlineStr">
        <is>
          <t>2024-10-24</t>
        </is>
      </c>
      <c r="K56" s="26" t="inlineStr">
        <is>
          <t>no</t>
        </is>
      </c>
      <c r="L56" s="35" t="n">
        <v>0.0067</v>
      </c>
      <c r="M56" s="35" t="n">
        <v>0.0022</v>
      </c>
      <c r="N56" s="35" t="n">
        <v>0.021</v>
      </c>
      <c r="O56" s="36" t="inlineStr">
        <is>
          <t>T4</t>
        </is>
      </c>
      <c r="P56" s="26" t="inlineStr">
        <is>
          <t>2024-10-24</t>
        </is>
      </c>
      <c r="Q56" s="26" t="inlineStr">
        <is>
          <t>T4-physics(A=3): e_out = 2*N_active/(eta*u*3600)*S with eta=1.4e12 FLOPs/J (H100-class BF16), u=0.3, S=1.7. Open weights, so this row can be moved to T1 by metering your own deployment (§4.8).</t>
        </is>
      </c>
      <c r="R56" s="26" t="inlineStr">
        <is>
          <t>Meta Llama 3.2 model card (Oct 2024)</t>
        </is>
      </c>
      <c r="S56" s="26" t="inlineStr">
        <is>
          <t>current</t>
        </is>
      </c>
    </row>
    <row r="57">
      <c r="A57" s="26" t="inlineStr">
        <is>
          <t>Llama 3.2 1B</t>
        </is>
      </c>
      <c r="B57" s="26" t="inlineStr">
        <is>
          <t>Meta</t>
        </is>
      </c>
      <c r="C57" s="38" t="inlineStr">
        <is>
          <t>Open</t>
        </is>
      </c>
      <c r="D57" s="26" t="inlineStr">
        <is>
          <t>Llama 3.2 Community</t>
        </is>
      </c>
      <c r="E57" s="26" t="inlineStr">
        <is>
          <t>Tiny</t>
        </is>
      </c>
      <c r="F57" s="26" t="inlineStr">
        <is>
          <t>dense</t>
        </is>
      </c>
      <c r="G57" s="34" t="n">
        <v>1</v>
      </c>
      <c r="H57" s="34" t="n">
        <v>1</v>
      </c>
      <c r="I57" s="26" t="inlineStr">
        <is>
          <t>128K</t>
        </is>
      </c>
      <c r="J57" s="26" t="inlineStr">
        <is>
          <t>2024-10-24</t>
        </is>
      </c>
      <c r="K57" s="26" t="inlineStr">
        <is>
          <t>no</t>
        </is>
      </c>
      <c r="L57" s="35" t="n">
        <v>0.0022</v>
      </c>
      <c r="M57" s="35" t="n">
        <v>0.00073</v>
      </c>
      <c r="N57" s="35" t="n">
        <v>0.0066</v>
      </c>
      <c r="O57" s="36" t="inlineStr">
        <is>
          <t>T4</t>
        </is>
      </c>
      <c r="P57" s="26" t="inlineStr">
        <is>
          <t>2024-10-24</t>
        </is>
      </c>
      <c r="Q57" s="26" t="inlineStr">
        <is>
          <t>T4-physics(A=1): e_out = 2*N_active/(eta*u*3600)*S with eta=1.4e12 FLOPs/J (H100-class BF16), u=0.3, S=1.7. Open weights, so this row can be moved to T1 by metering your own deployment (§4.8).</t>
        </is>
      </c>
      <c r="R57" s="26" t="inlineStr">
        <is>
          <t>Meta Llama 3.2 model card (Oct 2024)</t>
        </is>
      </c>
      <c r="S57" s="26" t="inlineStr">
        <is>
          <t>current</t>
        </is>
      </c>
    </row>
    <row r="58">
      <c r="A58" s="26" t="inlineStr">
        <is>
          <t>CWM (Code World Model) 32B</t>
        </is>
      </c>
      <c r="B58" s="26" t="inlineStr">
        <is>
          <t>Meta</t>
        </is>
      </c>
      <c r="C58" s="38" t="inlineStr">
        <is>
          <t>Open</t>
        </is>
      </c>
      <c r="D58" s="26" t="inlineStr">
        <is>
          <t>FAIR non-commercial research</t>
        </is>
      </c>
      <c r="E58" s="26" t="inlineStr">
        <is>
          <t>Mid</t>
        </is>
      </c>
      <c r="F58" s="26" t="inlineStr">
        <is>
          <t>dense</t>
        </is>
      </c>
      <c r="G58" s="34" t="n">
        <v>32</v>
      </c>
      <c r="H58" s="34" t="n">
        <v>32</v>
      </c>
      <c r="I58" s="26" t="inlineStr">
        <is>
          <t>131K</t>
        </is>
      </c>
      <c r="J58" s="26" t="inlineStr">
        <is>
          <t>2025-09</t>
        </is>
      </c>
      <c r="K58" s="26" t="inlineStr">
        <is>
          <t>optional</t>
        </is>
      </c>
      <c r="L58" s="35" t="n">
        <v>0.07199999999999999</v>
      </c>
      <c r="M58" s="35" t="n">
        <v>0.023</v>
      </c>
      <c r="N58" s="35" t="n">
        <v>0.22</v>
      </c>
      <c r="O58" s="36" t="inlineStr">
        <is>
          <t>T4</t>
        </is>
      </c>
      <c r="P58" s="26" t="inlineStr">
        <is>
          <t>2025-09</t>
        </is>
      </c>
      <c r="Q58" s="26" t="inlineStr">
        <is>
          <t>T4-physics(A=32): e_out = 2*N_active/(eta*u*3600)*S with eta=1.4e12 FLOPs/J (H100-class BF16), u=0.3, S=1.7. Open weights, so this row can be moved to T1 by metering your own deployment (§4.8).</t>
        </is>
      </c>
      <c r="R58" s="26" t="inlineStr">
        <is>
          <t>Meta FAIR CWM model card (Sept 2025)</t>
        </is>
      </c>
      <c r="S58" s="26" t="inlineStr">
        <is>
          <t>current</t>
        </is>
      </c>
    </row>
    <row r="59">
      <c r="A59" s="26" t="inlineStr">
        <is>
          <t>Llama 3.3 70B</t>
        </is>
      </c>
      <c r="B59" s="26" t="inlineStr">
        <is>
          <t>Meta</t>
        </is>
      </c>
      <c r="C59" s="38" t="inlineStr">
        <is>
          <t>Open</t>
        </is>
      </c>
      <c r="D59" s="26" t="inlineStr">
        <is>
          <t>Llama 3.3 Community</t>
        </is>
      </c>
      <c r="E59" s="26" t="inlineStr">
        <is>
          <t>Mid</t>
        </is>
      </c>
      <c r="F59" s="26" t="inlineStr">
        <is>
          <t>dense</t>
        </is>
      </c>
      <c r="G59" s="34" t="n">
        <v>70</v>
      </c>
      <c r="H59" s="34" t="n">
        <v>70</v>
      </c>
      <c r="I59" s="26" t="inlineStr">
        <is>
          <t>128K</t>
        </is>
      </c>
      <c r="J59" s="26" t="inlineStr">
        <is>
          <t>2024-12-06</t>
        </is>
      </c>
      <c r="K59" s="26" t="inlineStr">
        <is>
          <t>no</t>
        </is>
      </c>
      <c r="L59" s="35" t="n">
        <v>0.15</v>
      </c>
      <c r="M59" s="35" t="n">
        <v>0.07000000000000001</v>
      </c>
      <c r="N59" s="35" t="n">
        <v>0.3</v>
      </c>
      <c r="O59" s="39" t="inlineStr">
        <is>
          <t>T3</t>
        </is>
      </c>
      <c r="P59" s="26" t="inlineStr">
        <is>
          <t>2025-02</t>
        </is>
      </c>
      <c r="Q59" s="26" t="inlineStr">
        <is>
          <t>Benchmarked GPU energy on H100 from the AI Energy Score leaderboard, multiplied by the serving-stack factor S = 1.7 to reach the IT boundary.</t>
        </is>
      </c>
      <c r="R59" s="26" t="inlineStr">
        <is>
          <t>AI Energy Score leaderboard (2025)</t>
        </is>
      </c>
      <c r="S59" s="26" t="inlineStr">
        <is>
          <t>legacy</t>
        </is>
      </c>
    </row>
    <row r="60">
      <c r="A60" s="26" t="inlineStr">
        <is>
          <t>Llama 3.1 8B</t>
        </is>
      </c>
      <c r="B60" s="26" t="inlineStr">
        <is>
          <t>Meta</t>
        </is>
      </c>
      <c r="C60" s="38" t="inlineStr">
        <is>
          <t>Open</t>
        </is>
      </c>
      <c r="D60" s="26" t="inlineStr">
        <is>
          <t>Llama 3.1 Community</t>
        </is>
      </c>
      <c r="E60" s="26" t="inlineStr">
        <is>
          <t>Small</t>
        </is>
      </c>
      <c r="F60" s="26" t="inlineStr">
        <is>
          <t>dense</t>
        </is>
      </c>
      <c r="G60" s="34" t="n">
        <v>8</v>
      </c>
      <c r="H60" s="34" t="n">
        <v>8</v>
      </c>
      <c r="I60" s="26" t="inlineStr">
        <is>
          <t>128K</t>
        </is>
      </c>
      <c r="J60" s="26" t="inlineStr">
        <is>
          <t>2024-07-23</t>
        </is>
      </c>
      <c r="K60" s="26" t="inlineStr">
        <is>
          <t>no</t>
        </is>
      </c>
      <c r="L60" s="35" t="n">
        <v>0.02</v>
      </c>
      <c r="M60" s="35" t="n">
        <v>0.01</v>
      </c>
      <c r="N60" s="35" t="n">
        <v>0.04</v>
      </c>
      <c r="O60" s="39" t="inlineStr">
        <is>
          <t>T3</t>
        </is>
      </c>
      <c r="P60" s="26" t="inlineStr">
        <is>
          <t>2025-02</t>
        </is>
      </c>
      <c r="Q60" s="26" t="inlineStr">
        <is>
          <t>Benchmarked GPU energy on H100 (AI Energy Score) times the serving-stack factor S = 1.7. The narrowest band in the database, because it is the most measured row.</t>
        </is>
      </c>
      <c r="R60" s="26" t="inlineStr">
        <is>
          <t>AI Energy Score leaderboard (2025); arXiv:2505.09598</t>
        </is>
      </c>
      <c r="S60" s="26" t="inlineStr">
        <is>
          <t>legacy</t>
        </is>
      </c>
    </row>
    <row r="61">
      <c r="A61" s="26" t="inlineStr">
        <is>
          <t>Llama 3.1 405B</t>
        </is>
      </c>
      <c r="B61" s="26" t="inlineStr">
        <is>
          <t>Meta</t>
        </is>
      </c>
      <c r="C61" s="38" t="inlineStr">
        <is>
          <t>Open</t>
        </is>
      </c>
      <c r="D61" s="26" t="inlineStr">
        <is>
          <t>Llama 3.1 Community</t>
        </is>
      </c>
      <c r="E61" s="26" t="inlineStr">
        <is>
          <t>Frontier</t>
        </is>
      </c>
      <c r="F61" s="26" t="inlineStr">
        <is>
          <t>dense</t>
        </is>
      </c>
      <c r="G61" s="34" t="n">
        <v>405</v>
      </c>
      <c r="H61" s="34" t="n">
        <v>405</v>
      </c>
      <c r="I61" s="26" t="inlineStr">
        <is>
          <t>128K</t>
        </is>
      </c>
      <c r="J61" s="26" t="inlineStr">
        <is>
          <t>2024-07-23</t>
        </is>
      </c>
      <c r="K61" s="26" t="inlineStr">
        <is>
          <t>no</t>
        </is>
      </c>
      <c r="L61" s="35" t="n">
        <v>0.9</v>
      </c>
      <c r="M61" s="35" t="n">
        <v>0.3</v>
      </c>
      <c r="N61" s="35" t="n">
        <v>2.7</v>
      </c>
      <c r="O61" s="36" t="inlineStr">
        <is>
          <t>T4</t>
        </is>
      </c>
      <c r="P61" s="26" t="inlineStr">
        <is>
          <t>2025-02</t>
        </is>
      </c>
      <c r="Q61" s="26" t="inlineStr">
        <is>
          <t>T4-physics(A=405). A dense 405B model is the worst case for serving energy: every parameter is touched for every token. Sparse successors at a twentieth of the active parameters match or beat it on quality.</t>
        </is>
      </c>
      <c r="R61" s="26" t="inlineStr">
        <is>
          <t>FRAMEWORK.md §4.5 Tier-4 model</t>
        </is>
      </c>
      <c r="S61" s="26" t="inlineStr">
        <is>
          <t>legacy</t>
        </is>
      </c>
    </row>
    <row r="62">
      <c r="A62" s="26" t="inlineStr">
        <is>
          <t>Mistral Large 3</t>
        </is>
      </c>
      <c r="B62" s="26" t="inlineStr">
        <is>
          <t>Mistral AI</t>
        </is>
      </c>
      <c r="C62" s="38" t="inlineStr">
        <is>
          <t>Open</t>
        </is>
      </c>
      <c r="D62" s="26" t="inlineStr">
        <is>
          <t>Apache-2.0</t>
        </is>
      </c>
      <c r="E62" s="26" t="inlineStr">
        <is>
          <t>Frontier</t>
        </is>
      </c>
      <c r="F62" s="26" t="inlineStr">
        <is>
          <t>MoE</t>
        </is>
      </c>
      <c r="G62" s="34" t="n">
        <v>675</v>
      </c>
      <c r="H62" s="34" t="n">
        <v>41</v>
      </c>
      <c r="I62" s="26" t="inlineStr">
        <is>
          <t>256K</t>
        </is>
      </c>
      <c r="J62" s="26" t="inlineStr">
        <is>
          <t>2025-12-02</t>
        </is>
      </c>
      <c r="K62" s="26" t="inlineStr">
        <is>
          <t>optional</t>
        </is>
      </c>
      <c r="L62" s="35" t="n">
        <v>0.092</v>
      </c>
      <c r="M62" s="35" t="n">
        <v>0.03</v>
      </c>
      <c r="N62" s="35" t="n">
        <v>0.28</v>
      </c>
      <c r="O62" s="36" t="inlineStr">
        <is>
          <t>T4</t>
        </is>
      </c>
      <c r="P62" s="26" t="inlineStr">
        <is>
          <t>2025-12-02</t>
        </is>
      </c>
      <c r="Q62" s="26" t="inlineStr">
        <is>
          <t>T4-physics(A=41): e_out = 2*N_active/(eta*u*3600)*S with eta=1.4e12 FLOPs/J (H100-class BF16), u=0.3, S=1.7. Open weights, so this row can be moved to T1 by metering your own deployment (§4.8). Mistral's frontier model is open-weight and Apache-2.0, so a self-hosted deployment can be metered to T1 — unique among frontier-class rows.</t>
        </is>
      </c>
      <c r="R62" s="26" t="inlineStr">
        <is>
          <t>Mistral AI model cards and release notes (docs.mistral.ai), 2025-2026</t>
        </is>
      </c>
      <c r="S62" s="26" t="inlineStr">
        <is>
          <t>current</t>
        </is>
      </c>
    </row>
    <row r="63">
      <c r="A63" s="26" t="inlineStr">
        <is>
          <t>Mistral Small 4</t>
        </is>
      </c>
      <c r="B63" s="26" t="inlineStr">
        <is>
          <t>Mistral AI</t>
        </is>
      </c>
      <c r="C63" s="38" t="inlineStr">
        <is>
          <t>Open</t>
        </is>
      </c>
      <c r="D63" s="26" t="inlineStr">
        <is>
          <t>Apache-2.0</t>
        </is>
      </c>
      <c r="E63" s="26" t="inlineStr">
        <is>
          <t>Mid</t>
        </is>
      </c>
      <c r="F63" s="26" t="inlineStr">
        <is>
          <t>MoE</t>
        </is>
      </c>
      <c r="G63" s="34" t="n">
        <v>119</v>
      </c>
      <c r="H63" s="34" t="n">
        <v>6</v>
      </c>
      <c r="I63" s="26" t="inlineStr">
        <is>
          <t>256K</t>
        </is>
      </c>
      <c r="J63" s="26" t="inlineStr">
        <is>
          <t>2026-03-16</t>
        </is>
      </c>
      <c r="K63" s="26" t="inlineStr">
        <is>
          <t>optional</t>
        </is>
      </c>
      <c r="L63" s="35" t="n">
        <v>0.013</v>
      </c>
      <c r="M63" s="35" t="n">
        <v>0.0043</v>
      </c>
      <c r="N63" s="35" t="n">
        <v>0.039</v>
      </c>
      <c r="O63" s="36" t="inlineStr">
        <is>
          <t>T4</t>
        </is>
      </c>
      <c r="P63" s="26" t="inlineStr">
        <is>
          <t>2026-03-16</t>
        </is>
      </c>
      <c r="Q63" s="26" t="inlineStr">
        <is>
          <t>T4-physics(A=6): e_out = 2*N_active/(eta*u*3600)*S with eta=1.4e12 FLOPs/J (H100-class BF16), u=0.3, S=1.7. Open weights, so this row can be moved to T1 by metering your own deployment (§4.8).</t>
        </is>
      </c>
      <c r="R63" s="26" t="inlineStr">
        <is>
          <t>Mistral AI model cards and release notes (docs.mistral.ai), 2025-2026</t>
        </is>
      </c>
      <c r="S63" s="26" t="inlineStr">
        <is>
          <t>current</t>
        </is>
      </c>
    </row>
    <row r="64">
      <c r="A64" s="26" t="inlineStr">
        <is>
          <t>Ministral 3 14B</t>
        </is>
      </c>
      <c r="B64" s="26" t="inlineStr">
        <is>
          <t>Mistral AI</t>
        </is>
      </c>
      <c r="C64" s="38" t="inlineStr">
        <is>
          <t>Open</t>
        </is>
      </c>
      <c r="D64" s="26" t="inlineStr">
        <is>
          <t>Apache-2.0</t>
        </is>
      </c>
      <c r="E64" s="26" t="inlineStr">
        <is>
          <t>Small</t>
        </is>
      </c>
      <c r="F64" s="26" t="inlineStr">
        <is>
          <t>dense</t>
        </is>
      </c>
      <c r="G64" s="34" t="n">
        <v>14</v>
      </c>
      <c r="H64" s="34" t="n">
        <v>14</v>
      </c>
      <c r="I64" s="26" t="inlineStr">
        <is>
          <t>256K</t>
        </is>
      </c>
      <c r="J64" s="26" t="inlineStr">
        <is>
          <t>2025-12-02</t>
        </is>
      </c>
      <c r="K64" s="26" t="inlineStr">
        <is>
          <t>no</t>
        </is>
      </c>
      <c r="L64" s="35" t="n">
        <v>0.031</v>
      </c>
      <c r="M64" s="35" t="n">
        <v>0.01</v>
      </c>
      <c r="N64" s="35" t="n">
        <v>0.093</v>
      </c>
      <c r="O64" s="36" t="inlineStr">
        <is>
          <t>T4</t>
        </is>
      </c>
      <c r="P64" s="26" t="inlineStr">
        <is>
          <t>2025-12-02</t>
        </is>
      </c>
      <c r="Q64" s="26" t="inlineStr">
        <is>
          <t>T4-physics(A=14): e_out = 2*N_active/(eta*u*3600)*S with eta=1.4e12 FLOPs/J (H100-class BF16), u=0.3, S=1.7. Open weights, so this row can be moved to T1 by metering your own deployment (§4.8).</t>
        </is>
      </c>
      <c r="R64" s="26" t="inlineStr">
        <is>
          <t>Mistral AI model cards and release notes (docs.mistral.ai), 2025-2026</t>
        </is>
      </c>
      <c r="S64" s="26" t="inlineStr">
        <is>
          <t>current</t>
        </is>
      </c>
    </row>
    <row r="65">
      <c r="A65" s="26" t="inlineStr">
        <is>
          <t>Ministral 3 8B</t>
        </is>
      </c>
      <c r="B65" s="26" t="inlineStr">
        <is>
          <t>Mistral AI</t>
        </is>
      </c>
      <c r="C65" s="38" t="inlineStr">
        <is>
          <t>Open</t>
        </is>
      </c>
      <c r="D65" s="26" t="inlineStr">
        <is>
          <t>Apache-2.0</t>
        </is>
      </c>
      <c r="E65" s="26" t="inlineStr">
        <is>
          <t>Small</t>
        </is>
      </c>
      <c r="F65" s="26" t="inlineStr">
        <is>
          <t>dense</t>
        </is>
      </c>
      <c r="G65" s="34" t="n">
        <v>8</v>
      </c>
      <c r="H65" s="34" t="n">
        <v>8</v>
      </c>
      <c r="I65" s="26" t="inlineStr">
        <is>
          <t>256K</t>
        </is>
      </c>
      <c r="J65" s="26" t="inlineStr">
        <is>
          <t>2025-12-02</t>
        </is>
      </c>
      <c r="K65" s="26" t="inlineStr">
        <is>
          <t>no</t>
        </is>
      </c>
      <c r="L65" s="35" t="n">
        <v>0.018</v>
      </c>
      <c r="M65" s="35" t="n">
        <v>0.0059</v>
      </c>
      <c r="N65" s="35" t="n">
        <v>0.054</v>
      </c>
      <c r="O65" s="36" t="inlineStr">
        <is>
          <t>T4</t>
        </is>
      </c>
      <c r="P65" s="26" t="inlineStr">
        <is>
          <t>2025-12-02</t>
        </is>
      </c>
      <c r="Q65" s="26" t="inlineStr">
        <is>
          <t>T4-physics(A=8): e_out = 2*N_active/(eta*u*3600)*S with eta=1.4e12 FLOPs/J (H100-class BF16), u=0.3, S=1.7. Open weights, so this row can be moved to T1 by metering your own deployment (§4.8).</t>
        </is>
      </c>
      <c r="R65" s="26" t="inlineStr">
        <is>
          <t>Mistral AI model cards and release notes (docs.mistral.ai), 2025-2026</t>
        </is>
      </c>
      <c r="S65" s="26" t="inlineStr">
        <is>
          <t>current</t>
        </is>
      </c>
    </row>
    <row r="66">
      <c r="A66" s="26" t="inlineStr">
        <is>
          <t>Ministral 3 3B</t>
        </is>
      </c>
      <c r="B66" s="26" t="inlineStr">
        <is>
          <t>Mistral AI</t>
        </is>
      </c>
      <c r="C66" s="38" t="inlineStr">
        <is>
          <t>Open</t>
        </is>
      </c>
      <c r="D66" s="26" t="inlineStr">
        <is>
          <t>Apache-2.0</t>
        </is>
      </c>
      <c r="E66" s="26" t="inlineStr">
        <is>
          <t>Tiny</t>
        </is>
      </c>
      <c r="F66" s="26" t="inlineStr">
        <is>
          <t>dense</t>
        </is>
      </c>
      <c r="G66" s="34" t="n">
        <v>3</v>
      </c>
      <c r="H66" s="34" t="n">
        <v>3</v>
      </c>
      <c r="I66" s="26" t="inlineStr">
        <is>
          <t>256K</t>
        </is>
      </c>
      <c r="J66" s="26" t="inlineStr">
        <is>
          <t>2025-12-02</t>
        </is>
      </c>
      <c r="K66" s="26" t="inlineStr">
        <is>
          <t>no</t>
        </is>
      </c>
      <c r="L66" s="35" t="n">
        <v>0.0067</v>
      </c>
      <c r="M66" s="35" t="n">
        <v>0.0022</v>
      </c>
      <c r="N66" s="35" t="n">
        <v>0.021</v>
      </c>
      <c r="O66" s="36" t="inlineStr">
        <is>
          <t>T4</t>
        </is>
      </c>
      <c r="P66" s="26" t="inlineStr">
        <is>
          <t>2025-12-02</t>
        </is>
      </c>
      <c r="Q66" s="26" t="inlineStr">
        <is>
          <t>T4-physics(A=3): e_out = 2*N_active/(eta*u*3600)*S with eta=1.4e12 FLOPs/J (H100-class BF16), u=0.3, S=1.7. Open weights, so this row can be moved to T1 by metering your own deployment (§4.8).</t>
        </is>
      </c>
      <c r="R66" s="26" t="inlineStr">
        <is>
          <t>Mistral AI model cards and release notes (docs.mistral.ai), 2025-2026</t>
        </is>
      </c>
      <c r="S66" s="26" t="inlineStr">
        <is>
          <t>current</t>
        </is>
      </c>
    </row>
    <row r="67">
      <c r="A67" s="26" t="inlineStr">
        <is>
          <t>Devstral 2</t>
        </is>
      </c>
      <c r="B67" s="26" t="inlineStr">
        <is>
          <t>Mistral AI</t>
        </is>
      </c>
      <c r="C67" s="38" t="inlineStr">
        <is>
          <t>Open</t>
        </is>
      </c>
      <c r="D67" s="26" t="inlineStr">
        <is>
          <t>Modified MIT</t>
        </is>
      </c>
      <c r="E67" s="26" t="inlineStr">
        <is>
          <t>Mid</t>
        </is>
      </c>
      <c r="F67" s="26" t="inlineStr">
        <is>
          <t>dense</t>
        </is>
      </c>
      <c r="G67" s="34" t="n">
        <v>123</v>
      </c>
      <c r="H67" s="34" t="n">
        <v>123</v>
      </c>
      <c r="I67" s="26" t="inlineStr">
        <is>
          <t>256K</t>
        </is>
      </c>
      <c r="J67" s="26" t="inlineStr">
        <is>
          <t>2025-12-09</t>
        </is>
      </c>
      <c r="K67" s="26" t="inlineStr">
        <is>
          <t>no</t>
        </is>
      </c>
      <c r="L67" s="35" t="n">
        <v>0.28</v>
      </c>
      <c r="M67" s="35" t="n">
        <v>0.093</v>
      </c>
      <c r="N67" s="35" t="n">
        <v>0.84</v>
      </c>
      <c r="O67" s="36" t="inlineStr">
        <is>
          <t>T4</t>
        </is>
      </c>
      <c r="P67" s="26" t="inlineStr">
        <is>
          <t>2025-12-09</t>
        </is>
      </c>
      <c r="Q67" s="26" t="inlineStr">
        <is>
          <t>T4-physics(A=123): e_out = 2*N_active/(eta*u*3600)*S with eta=1.4e12 FLOPs/J (H100-class BF16), u=0.3, S=1.7. Open weights, so this row can be moved to T1 by metering your own deployment (§4.8).</t>
        </is>
      </c>
      <c r="R67" s="26" t="inlineStr">
        <is>
          <t>Mistral AI model cards and release notes (docs.mistral.ai), 2025-2026</t>
        </is>
      </c>
      <c r="S67" s="26" t="inlineStr">
        <is>
          <t>current</t>
        </is>
      </c>
    </row>
    <row r="68">
      <c r="A68" s="26" t="inlineStr">
        <is>
          <t>Devstral Small 2</t>
        </is>
      </c>
      <c r="B68" s="26" t="inlineStr">
        <is>
          <t>Mistral AI</t>
        </is>
      </c>
      <c r="C68" s="38" t="inlineStr">
        <is>
          <t>Open</t>
        </is>
      </c>
      <c r="D68" s="26" t="inlineStr">
        <is>
          <t>Apache-2.0</t>
        </is>
      </c>
      <c r="E68" s="26" t="inlineStr">
        <is>
          <t>Small</t>
        </is>
      </c>
      <c r="F68" s="26" t="inlineStr">
        <is>
          <t>dense</t>
        </is>
      </c>
      <c r="G68" s="34" t="n">
        <v>24</v>
      </c>
      <c r="H68" s="34" t="n">
        <v>24</v>
      </c>
      <c r="I68" s="26" t="inlineStr">
        <is>
          <t>256K</t>
        </is>
      </c>
      <c r="J68" s="26" t="inlineStr">
        <is>
          <t>2025-12-09</t>
        </is>
      </c>
      <c r="K68" s="26" t="inlineStr">
        <is>
          <t>no</t>
        </is>
      </c>
      <c r="L68" s="35" t="n">
        <v>0.054</v>
      </c>
      <c r="M68" s="35" t="n">
        <v>0.018</v>
      </c>
      <c r="N68" s="35" t="n">
        <v>0.17</v>
      </c>
      <c r="O68" s="36" t="inlineStr">
        <is>
          <t>T4</t>
        </is>
      </c>
      <c r="P68" s="26" t="inlineStr">
        <is>
          <t>2025-12-09</t>
        </is>
      </c>
      <c r="Q68" s="26" t="inlineStr">
        <is>
          <t>T4-physics(A=24): e_out = 2*N_active/(eta*u*3600)*S with eta=1.4e12 FLOPs/J (H100-class BF16), u=0.3, S=1.7. Open weights, so this row can be moved to T1 by metering your own deployment (§4.8).</t>
        </is>
      </c>
      <c r="R68" s="26" t="inlineStr">
        <is>
          <t>Mistral AI model cards and release notes (docs.mistral.ai), 2025-2026</t>
        </is>
      </c>
      <c r="S68" s="26" t="inlineStr">
        <is>
          <t>current</t>
        </is>
      </c>
    </row>
    <row r="69">
      <c r="A69" s="26" t="inlineStr">
        <is>
          <t>Mistral Medium 3.5</t>
        </is>
      </c>
      <c r="B69" s="26" t="inlineStr">
        <is>
          <t>Mistral AI</t>
        </is>
      </c>
      <c r="C69" s="26" t="inlineStr">
        <is>
          <t>Proprietary</t>
        </is>
      </c>
      <c r="D69" s="26" t="inlineStr">
        <is>
          <t>proprietary</t>
        </is>
      </c>
      <c r="E69" s="26" t="inlineStr">
        <is>
          <t>Mid</t>
        </is>
      </c>
      <c r="F69" s="26" t="inlineStr">
        <is>
          <t>undisclosed</t>
        </is>
      </c>
      <c r="G69" s="34" t="inlineStr"/>
      <c r="H69" s="34" t="inlineStr"/>
      <c r="I69" s="26" t="inlineStr">
        <is>
          <t>128K</t>
        </is>
      </c>
      <c r="J69" s="26" t="inlineStr">
        <is>
          <t>2026-04-29</t>
        </is>
      </c>
      <c r="K69" s="26" t="inlineStr">
        <is>
          <t>optional</t>
        </is>
      </c>
      <c r="L69" s="35" t="n">
        <v>0.3</v>
      </c>
      <c r="M69" s="35" t="n">
        <v>0.09</v>
      </c>
      <c r="N69" s="35" t="n">
        <v>0.9</v>
      </c>
      <c r="O69" s="36" t="inlineStr">
        <is>
          <t>T4</t>
        </is>
      </c>
      <c r="P69" s="26" t="inlineStr">
        <is>
          <t>2026-04-29</t>
        </is>
      </c>
      <c r="Q69" s="26" t="inlineStr">
        <is>
          <t>Class anchor for mid closed-weight serving (§4.5): no parameter disclosure and no published per-request measurement, so the row carries the full T4 band. The ceiling for an API row is T2 and only the provider can lift it (§4.8).</t>
        </is>
      </c>
      <c r="R69" s="26" t="inlineStr">
        <is>
          <t>Mistral AI model cards and release notes (docs.mistral.ai), 2025-2026</t>
        </is>
      </c>
      <c r="S69" s="26" t="inlineStr">
        <is>
          <t>current</t>
        </is>
      </c>
    </row>
    <row r="70">
      <c r="A70" s="26" t="inlineStr">
        <is>
          <t>Mistral Large 2</t>
        </is>
      </c>
      <c r="B70" s="26" t="inlineStr">
        <is>
          <t>Mistral AI</t>
        </is>
      </c>
      <c r="C70" s="38" t="inlineStr">
        <is>
          <t>Open</t>
        </is>
      </c>
      <c r="D70" s="26" t="inlineStr">
        <is>
          <t>Mistral Research Licence</t>
        </is>
      </c>
      <c r="E70" s="26" t="inlineStr">
        <is>
          <t>Mid</t>
        </is>
      </c>
      <c r="F70" s="26" t="inlineStr">
        <is>
          <t>dense</t>
        </is>
      </c>
      <c r="G70" s="34" t="n">
        <v>123</v>
      </c>
      <c r="H70" s="34" t="n">
        <v>123</v>
      </c>
      <c r="I70" s="26" t="inlineStr">
        <is>
          <t>128K</t>
        </is>
      </c>
      <c r="J70" s="26" t="inlineStr">
        <is>
          <t>2024-07</t>
        </is>
      </c>
      <c r="K70" s="26" t="inlineStr">
        <is>
          <t>no</t>
        </is>
      </c>
      <c r="L70" s="35" t="n">
        <v>0.28</v>
      </c>
      <c r="M70" s="35" t="n">
        <v>0.14</v>
      </c>
      <c r="N70" s="35" t="n">
        <v>0.5600000000000001</v>
      </c>
      <c r="O70" s="37" t="inlineStr">
        <is>
          <t>T2</t>
        </is>
      </c>
      <c r="P70" s="26" t="inlineStr">
        <is>
          <t>2025-01</t>
        </is>
      </c>
      <c r="Q70" s="26" t="inlineStr">
        <is>
          <t>The first audited life-cycle assessment of an LLM (ADEME/Carbone 4 framework, peer-reviewed by Resilio and Hubblo): 1.14 g CO2e and 45 mL water per 400-token response including amortised training. Energy back-calculated from 123B dense physics against the LCA's carbon on a French-adjacent grid.</t>
        </is>
      </c>
      <c r="R70" s="26" t="inlineStr">
        <is>
          <t>Mistral AI environmental report (2025); ISO 14040/44 and ITU-T L.1410 compliant</t>
        </is>
      </c>
      <c r="S70" s="26" t="inlineStr">
        <is>
          <t>legacy</t>
        </is>
      </c>
    </row>
    <row r="71">
      <c r="A71" s="26" t="inlineStr">
        <is>
          <t>Mistral Small 3</t>
        </is>
      </c>
      <c r="B71" s="26" t="inlineStr">
        <is>
          <t>Mistral AI</t>
        </is>
      </c>
      <c r="C71" s="38" t="inlineStr">
        <is>
          <t>Open</t>
        </is>
      </c>
      <c r="D71" s="26" t="inlineStr">
        <is>
          <t>Apache-2.0</t>
        </is>
      </c>
      <c r="E71" s="26" t="inlineStr">
        <is>
          <t>Small</t>
        </is>
      </c>
      <c r="F71" s="26" t="inlineStr">
        <is>
          <t>dense</t>
        </is>
      </c>
      <c r="G71" s="34" t="n">
        <v>24</v>
      </c>
      <c r="H71" s="34" t="n">
        <v>24</v>
      </c>
      <c r="I71" s="26" t="inlineStr">
        <is>
          <t>32K</t>
        </is>
      </c>
      <c r="J71" s="26" t="inlineStr">
        <is>
          <t>2025-01</t>
        </is>
      </c>
      <c r="K71" s="26" t="inlineStr">
        <is>
          <t>no</t>
        </is>
      </c>
      <c r="L71" s="35" t="n">
        <v>0.054</v>
      </c>
      <c r="M71" s="35" t="n">
        <v>0.018</v>
      </c>
      <c r="N71" s="35" t="n">
        <v>0.17</v>
      </c>
      <c r="O71" s="36" t="inlineStr">
        <is>
          <t>T4</t>
        </is>
      </c>
      <c r="P71" s="26" t="inlineStr">
        <is>
          <t>2025-01</t>
        </is>
      </c>
      <c r="Q71" s="26" t="inlineStr">
        <is>
          <t>T4-physics(A=24): e_out = 2*N_active/(eta*u*3600)*S with eta=1.4e12 FLOPs/J (H100-class BF16), u=0.3, S=1.7. Open weights, so this row can be moved to T1 by metering your own deployment (§4.8).</t>
        </is>
      </c>
      <c r="R71" s="26" t="inlineStr">
        <is>
          <t>Mistral AI model cards and release notes (docs.mistral.ai), 2025-2026</t>
        </is>
      </c>
      <c r="S71" s="26" t="inlineStr">
        <is>
          <t>legacy</t>
        </is>
      </c>
    </row>
    <row r="72">
      <c r="A72" s="26" t="inlineStr">
        <is>
          <t>DeepSeek-V4-Pro</t>
        </is>
      </c>
      <c r="B72" s="26" t="inlineStr">
        <is>
          <t>DeepSeek</t>
        </is>
      </c>
      <c r="C72" s="38" t="inlineStr">
        <is>
          <t>Open</t>
        </is>
      </c>
      <c r="D72" s="26" t="inlineStr">
        <is>
          <t>MIT</t>
        </is>
      </c>
      <c r="E72" s="26" t="inlineStr">
        <is>
          <t>Frontier</t>
        </is>
      </c>
      <c r="F72" s="26" t="inlineStr">
        <is>
          <t>MoE</t>
        </is>
      </c>
      <c r="G72" s="34" t="n">
        <v>1600</v>
      </c>
      <c r="H72" s="34" t="n">
        <v>49</v>
      </c>
      <c r="I72" s="26" t="inlineStr">
        <is>
          <t>128K</t>
        </is>
      </c>
      <c r="J72" s="26" t="inlineStr">
        <is>
          <t>2026-08</t>
        </is>
      </c>
      <c r="K72" s="26" t="inlineStr">
        <is>
          <t>mixed</t>
        </is>
      </c>
      <c r="L72" s="35" t="n">
        <v>0.11</v>
      </c>
      <c r="M72" s="35" t="n">
        <v>0.036</v>
      </c>
      <c r="N72" s="35" t="n">
        <v>0.33</v>
      </c>
      <c r="O72" s="36" t="inlineStr">
        <is>
          <t>T4</t>
        </is>
      </c>
      <c r="P72" s="26" t="inlineStr">
        <is>
          <t>2026-08</t>
        </is>
      </c>
      <c r="Q72" s="26" t="inlineStr">
        <is>
          <t>T4-physics(A=49): e_out = 2*N_active/(eta*u*3600)*S with eta=1.4e12 FLOPs/J (H100-class BF16), u=0.3, S=1.7. Open weights, so this row can be moved to T1 by metering your own deployment (§4.8). 49B active of 1.6T total — the sparsest frontier row in the database, and the clearest illustration of why energy must be modelled on active parameters.</t>
        </is>
      </c>
      <c r="R72" s="26" t="inlineStr">
        <is>
          <t>DeepSeek model cards and technical reports, 2025-2026</t>
        </is>
      </c>
      <c r="S72" s="26" t="inlineStr">
        <is>
          <t>current</t>
        </is>
      </c>
    </row>
    <row r="73">
      <c r="A73" s="26" t="inlineStr">
        <is>
          <t>DeepSeek-V4-Flash</t>
        </is>
      </c>
      <c r="B73" s="26" t="inlineStr">
        <is>
          <t>DeepSeek</t>
        </is>
      </c>
      <c r="C73" s="38" t="inlineStr">
        <is>
          <t>Open</t>
        </is>
      </c>
      <c r="D73" s="26" t="inlineStr">
        <is>
          <t>MIT</t>
        </is>
      </c>
      <c r="E73" s="26" t="inlineStr">
        <is>
          <t>Frontier</t>
        </is>
      </c>
      <c r="F73" s="26" t="inlineStr">
        <is>
          <t>MoE</t>
        </is>
      </c>
      <c r="G73" s="34" t="n">
        <v>284</v>
      </c>
      <c r="H73" s="34" t="n">
        <v>13</v>
      </c>
      <c r="I73" s="26" t="inlineStr">
        <is>
          <t>128K</t>
        </is>
      </c>
      <c r="J73" s="26" t="inlineStr">
        <is>
          <t>2026-07-31</t>
        </is>
      </c>
      <c r="K73" s="26" t="inlineStr">
        <is>
          <t>mixed</t>
        </is>
      </c>
      <c r="L73" s="35" t="n">
        <v>0.029</v>
      </c>
      <c r="M73" s="35" t="n">
        <v>0.009599999999999999</v>
      </c>
      <c r="N73" s="35" t="n">
        <v>0.08699999999999999</v>
      </c>
      <c r="O73" s="36" t="inlineStr">
        <is>
          <t>T4</t>
        </is>
      </c>
      <c r="P73" s="26" t="inlineStr">
        <is>
          <t>2026-07-31</t>
        </is>
      </c>
      <c r="Q73" s="26" t="inlineStr">
        <is>
          <t>T4-physics(A=13): e_out = 2*N_active/(eta*u*3600)*S with eta=1.4e12 FLOPs/J (H100-class BF16), u=0.3, S=1.7. Open weights, so this row can be moved to T1 by metering your own deployment (§4.8).</t>
        </is>
      </c>
      <c r="R73" s="26" t="inlineStr">
        <is>
          <t>DeepSeek model cards and technical reports, 2025-2026</t>
        </is>
      </c>
      <c r="S73" s="26" t="inlineStr">
        <is>
          <t>current</t>
        </is>
      </c>
    </row>
    <row r="74">
      <c r="A74" s="26" t="inlineStr">
        <is>
          <t>DeepSeek-V3.2</t>
        </is>
      </c>
      <c r="B74" s="26" t="inlineStr">
        <is>
          <t>DeepSeek</t>
        </is>
      </c>
      <c r="C74" s="38" t="inlineStr">
        <is>
          <t>Open</t>
        </is>
      </c>
      <c r="D74" s="26" t="inlineStr">
        <is>
          <t>MIT</t>
        </is>
      </c>
      <c r="E74" s="26" t="inlineStr">
        <is>
          <t>Frontier</t>
        </is>
      </c>
      <c r="F74" s="26" t="inlineStr">
        <is>
          <t>MoE</t>
        </is>
      </c>
      <c r="G74" s="34" t="n">
        <v>685</v>
      </c>
      <c r="H74" s="34" t="n">
        <v>37</v>
      </c>
      <c r="I74" s="26" t="inlineStr">
        <is>
          <t>128K</t>
        </is>
      </c>
      <c r="J74" s="26" t="inlineStr">
        <is>
          <t>2025-12-01</t>
        </is>
      </c>
      <c r="K74" s="26" t="inlineStr">
        <is>
          <t>optional</t>
        </is>
      </c>
      <c r="L74" s="35" t="n">
        <v>0.083</v>
      </c>
      <c r="M74" s="35" t="n">
        <v>0.027</v>
      </c>
      <c r="N74" s="35" t="n">
        <v>0.25</v>
      </c>
      <c r="O74" s="36" t="inlineStr">
        <is>
          <t>T4</t>
        </is>
      </c>
      <c r="P74" s="26" t="inlineStr">
        <is>
          <t>2025-12-01</t>
        </is>
      </c>
      <c r="Q74" s="26" t="inlineStr">
        <is>
          <t>T4-physics(A=37): e_out = 2*N_active/(eta*u*3600)*S with eta=1.4e12 FLOPs/J (H100-class BF16), u=0.3, S=1.7. Open weights, so this row can be moved to T1 by metering your own deployment (§4.8).</t>
        </is>
      </c>
      <c r="R74" s="26" t="inlineStr">
        <is>
          <t>DeepSeek model cards and technical reports, 2025-2026</t>
        </is>
      </c>
      <c r="S74" s="26" t="inlineStr">
        <is>
          <t>current</t>
        </is>
      </c>
    </row>
    <row r="75">
      <c r="A75" s="26" t="inlineStr">
        <is>
          <t>DeepSeek-V3.2-Speciale</t>
        </is>
      </c>
      <c r="B75" s="26" t="inlineStr">
        <is>
          <t>DeepSeek</t>
        </is>
      </c>
      <c r="C75" s="38" t="inlineStr">
        <is>
          <t>Open</t>
        </is>
      </c>
      <c r="D75" s="26" t="inlineStr">
        <is>
          <t>MIT</t>
        </is>
      </c>
      <c r="E75" s="26" t="inlineStr">
        <is>
          <t>Frontier</t>
        </is>
      </c>
      <c r="F75" s="26" t="inlineStr">
        <is>
          <t>MoE</t>
        </is>
      </c>
      <c r="G75" s="34" t="n">
        <v>685</v>
      </c>
      <c r="H75" s="34" t="n">
        <v>37</v>
      </c>
      <c r="I75" s="26" t="inlineStr">
        <is>
          <t>128K</t>
        </is>
      </c>
      <c r="J75" s="26" t="inlineStr">
        <is>
          <t>2025-12-01</t>
        </is>
      </c>
      <c r="K75" s="26" t="inlineStr">
        <is>
          <t>always</t>
        </is>
      </c>
      <c r="L75" s="35" t="n">
        <v>0.083</v>
      </c>
      <c r="M75" s="35" t="n">
        <v>0.027</v>
      </c>
      <c r="N75" s="35" t="n">
        <v>0.25</v>
      </c>
      <c r="O75" s="36" t="inlineStr">
        <is>
          <t>T4</t>
        </is>
      </c>
      <c r="P75" s="26" t="inlineStr">
        <is>
          <t>2025-12-01</t>
        </is>
      </c>
      <c r="Q75" s="26" t="inlineStr">
        <is>
          <t>T4-physics(A=37): e_out = 2*N_active/(eta*u*3600)*S with eta=1.4e12 FLOPs/J (H100-class BF16), u=0.3, S=1.7. Open weights, so this row can be moved to T1 by metering your own deployment (§4.8). Always-on reasoning: the physics rate is unchanged, but token counts per request are several times higher. Grade on the Reasoning class.</t>
        </is>
      </c>
      <c r="R75" s="26" t="inlineStr">
        <is>
          <t>DeepSeek model cards and technical reports, 2025-2026</t>
        </is>
      </c>
      <c r="S75" s="26" t="inlineStr">
        <is>
          <t>current</t>
        </is>
      </c>
    </row>
    <row r="76">
      <c r="A76" s="26" t="inlineStr">
        <is>
          <t>DeepSeek-R1</t>
        </is>
      </c>
      <c r="B76" s="26" t="inlineStr">
        <is>
          <t>DeepSeek</t>
        </is>
      </c>
      <c r="C76" s="38" t="inlineStr">
        <is>
          <t>Open</t>
        </is>
      </c>
      <c r="D76" s="26" t="inlineStr">
        <is>
          <t>MIT</t>
        </is>
      </c>
      <c r="E76" s="26" t="inlineStr">
        <is>
          <t>Frontier</t>
        </is>
      </c>
      <c r="F76" s="26" t="inlineStr">
        <is>
          <t>MoE</t>
        </is>
      </c>
      <c r="G76" s="34" t="n">
        <v>671</v>
      </c>
      <c r="H76" s="34" t="n">
        <v>37</v>
      </c>
      <c r="I76" s="26" t="inlineStr">
        <is>
          <t>128K</t>
        </is>
      </c>
      <c r="J76" s="26" t="inlineStr">
        <is>
          <t>2025-01-20</t>
        </is>
      </c>
      <c r="K76" s="26" t="inlineStr">
        <is>
          <t>always</t>
        </is>
      </c>
      <c r="L76" s="35" t="n">
        <v>3</v>
      </c>
      <c r="M76" s="35" t="n">
        <v>1.5</v>
      </c>
      <c r="N76" s="35" t="n">
        <v>6</v>
      </c>
      <c r="O76" s="39" t="inlineStr">
        <is>
          <t>T3</t>
        </is>
      </c>
      <c r="P76" s="26" t="inlineStr">
        <is>
          <t>2025-05</t>
        </is>
      </c>
      <c r="Q76" s="26" t="inlineStr">
        <is>
          <t>Jegham et al.: ~29 Wh per long prompt with extended reasoning chains, expressed as an effective rate over generated (including reasoning) tokens. Measured far above the 37B-active physics floor — production reasoning serving is not cheap.</t>
        </is>
      </c>
      <c r="R76" s="26" t="inlineStr">
        <is>
          <t>arXiv:2505.09598</t>
        </is>
      </c>
      <c r="S76" s="26" t="inlineStr">
        <is>
          <t>legacy</t>
        </is>
      </c>
    </row>
    <row r="77">
      <c r="A77" s="26" t="inlineStr">
        <is>
          <t>Qwen3.8-2.4T-A95B</t>
        </is>
      </c>
      <c r="B77" s="26" t="inlineStr">
        <is>
          <t>Alibaba</t>
        </is>
      </c>
      <c r="C77" s="38" t="inlineStr">
        <is>
          <t>Open</t>
        </is>
      </c>
      <c r="D77" s="26" t="inlineStr">
        <is>
          <t>Apache-2.0</t>
        </is>
      </c>
      <c r="E77" s="26" t="inlineStr">
        <is>
          <t>Frontier</t>
        </is>
      </c>
      <c r="F77" s="26" t="inlineStr">
        <is>
          <t>MoE</t>
        </is>
      </c>
      <c r="G77" s="34" t="n">
        <v>2400</v>
      </c>
      <c r="H77" s="34" t="n">
        <v>95</v>
      </c>
      <c r="I77" s="26" t="inlineStr">
        <is>
          <t>256K</t>
        </is>
      </c>
      <c r="J77" s="26" t="inlineStr">
        <is>
          <t>2026-08-12</t>
        </is>
      </c>
      <c r="K77" s="26" t="inlineStr">
        <is>
          <t>always</t>
        </is>
      </c>
      <c r="L77" s="35" t="n">
        <v>0.21</v>
      </c>
      <c r="M77" s="35" t="n">
        <v>0.06900000000000001</v>
      </c>
      <c r="N77" s="35" t="n">
        <v>0.63</v>
      </c>
      <c r="O77" s="36" t="inlineStr">
        <is>
          <t>T4</t>
        </is>
      </c>
      <c r="P77" s="26" t="inlineStr">
        <is>
          <t>2026-08-12</t>
        </is>
      </c>
      <c r="Q77" s="26" t="inlineStr">
        <is>
          <t>T4-physics(A=95): e_out = 2*N_active/(eta*u*3600)*S with eta=1.4e12 FLOPs/J (H100-class BF16), u=0.3, S=1.7. Open weights, so this row can be moved to T1 by metering your own deployment (§4.8).</t>
        </is>
      </c>
      <c r="R77" s="26" t="inlineStr">
        <is>
          <t>Qwen model cards and technical reports (Alibaba), 2025-2026</t>
        </is>
      </c>
      <c r="S77" s="26" t="inlineStr">
        <is>
          <t>current</t>
        </is>
      </c>
    </row>
    <row r="78">
      <c r="A78" s="26" t="inlineStr">
        <is>
          <t>Qwen3.8-27B</t>
        </is>
      </c>
      <c r="B78" s="26" t="inlineStr">
        <is>
          <t>Alibaba</t>
        </is>
      </c>
      <c r="C78" s="38" t="inlineStr">
        <is>
          <t>Open</t>
        </is>
      </c>
      <c r="D78" s="26" t="inlineStr">
        <is>
          <t>Apache-2.0</t>
        </is>
      </c>
      <c r="E78" s="26" t="inlineStr">
        <is>
          <t>Mid</t>
        </is>
      </c>
      <c r="F78" s="26" t="inlineStr">
        <is>
          <t>dense</t>
        </is>
      </c>
      <c r="G78" s="34" t="n">
        <v>27</v>
      </c>
      <c r="H78" s="34" t="n">
        <v>27</v>
      </c>
      <c r="I78" s="26" t="inlineStr">
        <is>
          <t>256K</t>
        </is>
      </c>
      <c r="J78" s="26" t="inlineStr">
        <is>
          <t>2026-08-14</t>
        </is>
      </c>
      <c r="K78" s="26" t="inlineStr">
        <is>
          <t>always</t>
        </is>
      </c>
      <c r="L78" s="35" t="n">
        <v>0.061</v>
      </c>
      <c r="M78" s="35" t="n">
        <v>0.02</v>
      </c>
      <c r="N78" s="35" t="n">
        <v>0.19</v>
      </c>
      <c r="O78" s="36" t="inlineStr">
        <is>
          <t>T4</t>
        </is>
      </c>
      <c r="P78" s="26" t="inlineStr">
        <is>
          <t>2026-08-14</t>
        </is>
      </c>
      <c r="Q78" s="26" t="inlineStr">
        <is>
          <t>T4-physics(A=27): e_out = 2*N_active/(eta*u*3600)*S with eta=1.4e12 FLOPs/J (H100-class BF16), u=0.3, S=1.7. Open weights, so this row can be moved to T1 by metering your own deployment (§4.8).</t>
        </is>
      </c>
      <c r="R78" s="26" t="inlineStr">
        <is>
          <t>Qwen model cards and technical reports (Alibaba), 2025-2026</t>
        </is>
      </c>
      <c r="S78" s="26" t="inlineStr">
        <is>
          <t>current</t>
        </is>
      </c>
    </row>
    <row r="79">
      <c r="A79" s="26" t="inlineStr">
        <is>
          <t>Qwen3.6-27B</t>
        </is>
      </c>
      <c r="B79" s="26" t="inlineStr">
        <is>
          <t>Alibaba</t>
        </is>
      </c>
      <c r="C79" s="38" t="inlineStr">
        <is>
          <t>Open</t>
        </is>
      </c>
      <c r="D79" s="26" t="inlineStr">
        <is>
          <t>Apache-2.0</t>
        </is>
      </c>
      <c r="E79" s="26" t="inlineStr">
        <is>
          <t>Mid</t>
        </is>
      </c>
      <c r="F79" s="26" t="inlineStr">
        <is>
          <t>dense</t>
        </is>
      </c>
      <c r="G79" s="34" t="n">
        <v>27</v>
      </c>
      <c r="H79" s="34" t="n">
        <v>27</v>
      </c>
      <c r="I79" s="26" t="inlineStr">
        <is>
          <t>256K</t>
        </is>
      </c>
      <c r="J79" s="26" t="inlineStr">
        <is>
          <t>2026-04-22</t>
        </is>
      </c>
      <c r="K79" s="26" t="inlineStr">
        <is>
          <t>optional</t>
        </is>
      </c>
      <c r="L79" s="35" t="n">
        <v>0.061</v>
      </c>
      <c r="M79" s="35" t="n">
        <v>0.02</v>
      </c>
      <c r="N79" s="35" t="n">
        <v>0.19</v>
      </c>
      <c r="O79" s="36" t="inlineStr">
        <is>
          <t>T4</t>
        </is>
      </c>
      <c r="P79" s="26" t="inlineStr">
        <is>
          <t>2026-04-22</t>
        </is>
      </c>
      <c r="Q79" s="26" t="inlineStr">
        <is>
          <t>T4-physics(A=27): e_out = 2*N_active/(eta*u*3600)*S with eta=1.4e12 FLOPs/J (H100-class BF16), u=0.3, S=1.7. Open weights, so this row can be moved to T1 by metering your own deployment (§4.8).</t>
        </is>
      </c>
      <c r="R79" s="26" t="inlineStr">
        <is>
          <t>Qwen model cards and technical reports (Alibaba), 2025-2026</t>
        </is>
      </c>
      <c r="S79" s="26" t="inlineStr">
        <is>
          <t>current</t>
        </is>
      </c>
    </row>
    <row r="80">
      <c r="A80" s="26" t="inlineStr">
        <is>
          <t>Qwen3.6-35B-A3B</t>
        </is>
      </c>
      <c r="B80" s="26" t="inlineStr">
        <is>
          <t>Alibaba</t>
        </is>
      </c>
      <c r="C80" s="38" t="inlineStr">
        <is>
          <t>Open</t>
        </is>
      </c>
      <c r="D80" s="26" t="inlineStr">
        <is>
          <t>Apache-2.0</t>
        </is>
      </c>
      <c r="E80" s="26" t="inlineStr">
        <is>
          <t>Small</t>
        </is>
      </c>
      <c r="F80" s="26" t="inlineStr">
        <is>
          <t>MoE</t>
        </is>
      </c>
      <c r="G80" s="34" t="n">
        <v>35</v>
      </c>
      <c r="H80" s="34" t="n">
        <v>3</v>
      </c>
      <c r="I80" s="26" t="inlineStr">
        <is>
          <t>256K</t>
        </is>
      </c>
      <c r="J80" s="26" t="inlineStr">
        <is>
          <t>2026-04-16</t>
        </is>
      </c>
      <c r="K80" s="26" t="inlineStr">
        <is>
          <t>optional</t>
        </is>
      </c>
      <c r="L80" s="35" t="n">
        <v>0.0067</v>
      </c>
      <c r="M80" s="35" t="n">
        <v>0.0022</v>
      </c>
      <c r="N80" s="35" t="n">
        <v>0.021</v>
      </c>
      <c r="O80" s="36" t="inlineStr">
        <is>
          <t>T4</t>
        </is>
      </c>
      <c r="P80" s="26" t="inlineStr">
        <is>
          <t>2026-04-16</t>
        </is>
      </c>
      <c r="Q80" s="26" t="inlineStr">
        <is>
          <t>T4-physics(A=3): e_out = 2*N_active/(eta*u*3600)*S with eta=1.4e12 FLOPs/J (H100-class BF16), u=0.3, S=1.7. Open weights, so this row can be moved to T1 by metering your own deployment (§4.8).</t>
        </is>
      </c>
      <c r="R80" s="26" t="inlineStr">
        <is>
          <t>Qwen model cards and technical reports (Alibaba), 2025-2026</t>
        </is>
      </c>
      <c r="S80" s="26" t="inlineStr">
        <is>
          <t>current</t>
        </is>
      </c>
    </row>
    <row r="81">
      <c r="A81" s="26" t="inlineStr">
        <is>
          <t>Qwen3.5-397B-A17B</t>
        </is>
      </c>
      <c r="B81" s="26" t="inlineStr">
        <is>
          <t>Alibaba</t>
        </is>
      </c>
      <c r="C81" s="38" t="inlineStr">
        <is>
          <t>Open</t>
        </is>
      </c>
      <c r="D81" s="26" t="inlineStr">
        <is>
          <t>Apache-2.0</t>
        </is>
      </c>
      <c r="E81" s="26" t="inlineStr">
        <is>
          <t>Frontier</t>
        </is>
      </c>
      <c r="F81" s="26" t="inlineStr">
        <is>
          <t>MoE</t>
        </is>
      </c>
      <c r="G81" s="34" t="n">
        <v>397</v>
      </c>
      <c r="H81" s="34" t="n">
        <v>17</v>
      </c>
      <c r="I81" s="26" t="inlineStr">
        <is>
          <t>256K</t>
        </is>
      </c>
      <c r="J81" s="26" t="inlineStr">
        <is>
          <t>2026-02-16</t>
        </is>
      </c>
      <c r="K81" s="26" t="inlineStr">
        <is>
          <t>optional</t>
        </is>
      </c>
      <c r="L81" s="35" t="n">
        <v>0.038</v>
      </c>
      <c r="M81" s="35" t="n">
        <v>0.012</v>
      </c>
      <c r="N81" s="35" t="n">
        <v>0.12</v>
      </c>
      <c r="O81" s="36" t="inlineStr">
        <is>
          <t>T4</t>
        </is>
      </c>
      <c r="P81" s="26" t="inlineStr">
        <is>
          <t>2026-02-16</t>
        </is>
      </c>
      <c r="Q81" s="26" t="inlineStr">
        <is>
          <t>T4-physics(A=17): e_out = 2*N_active/(eta*u*3600)*S with eta=1.4e12 FLOPs/J (H100-class BF16), u=0.3, S=1.7. Open weights, so this row can be moved to T1 by metering your own deployment (§4.8).</t>
        </is>
      </c>
      <c r="R81" s="26" t="inlineStr">
        <is>
          <t>Qwen model cards and technical reports (Alibaba), 2025-2026</t>
        </is>
      </c>
      <c r="S81" s="26" t="inlineStr">
        <is>
          <t>current</t>
        </is>
      </c>
    </row>
    <row r="82">
      <c r="A82" s="26" t="inlineStr">
        <is>
          <t>Qwen3.5-122B-A10B</t>
        </is>
      </c>
      <c r="B82" s="26" t="inlineStr">
        <is>
          <t>Alibaba</t>
        </is>
      </c>
      <c r="C82" s="38" t="inlineStr">
        <is>
          <t>Open</t>
        </is>
      </c>
      <c r="D82" s="26" t="inlineStr">
        <is>
          <t>Apache-2.0</t>
        </is>
      </c>
      <c r="E82" s="26" t="inlineStr">
        <is>
          <t>Mid</t>
        </is>
      </c>
      <c r="F82" s="26" t="inlineStr">
        <is>
          <t>MoE</t>
        </is>
      </c>
      <c r="G82" s="34" t="n">
        <v>122</v>
      </c>
      <c r="H82" s="34" t="n">
        <v>10</v>
      </c>
      <c r="I82" s="26" t="inlineStr">
        <is>
          <t>256K</t>
        </is>
      </c>
      <c r="J82" s="26" t="inlineStr">
        <is>
          <t>2026-02-24</t>
        </is>
      </c>
      <c r="K82" s="26" t="inlineStr">
        <is>
          <t>optional</t>
        </is>
      </c>
      <c r="L82" s="35" t="n">
        <v>0.022</v>
      </c>
      <c r="M82" s="35" t="n">
        <v>0.0073</v>
      </c>
      <c r="N82" s="35" t="n">
        <v>0.066</v>
      </c>
      <c r="O82" s="36" t="inlineStr">
        <is>
          <t>T4</t>
        </is>
      </c>
      <c r="P82" s="26" t="inlineStr">
        <is>
          <t>2026-02-24</t>
        </is>
      </c>
      <c r="Q82" s="26" t="inlineStr">
        <is>
          <t>T4-physics(A=10): e_out = 2*N_active/(eta*u*3600)*S with eta=1.4e12 FLOPs/J (H100-class BF16), u=0.3, S=1.7. Open weights, so this row can be moved to T1 by metering your own deployment (§4.8).</t>
        </is>
      </c>
      <c r="R82" s="26" t="inlineStr">
        <is>
          <t>Qwen model cards and technical reports (Alibaba), 2025-2026</t>
        </is>
      </c>
      <c r="S82" s="26" t="inlineStr">
        <is>
          <t>current</t>
        </is>
      </c>
    </row>
    <row r="83">
      <c r="A83" s="26" t="inlineStr">
        <is>
          <t>Qwen3.5-35B-A3B</t>
        </is>
      </c>
      <c r="B83" s="26" t="inlineStr">
        <is>
          <t>Alibaba</t>
        </is>
      </c>
      <c r="C83" s="38" t="inlineStr">
        <is>
          <t>Open</t>
        </is>
      </c>
      <c r="D83" s="26" t="inlineStr">
        <is>
          <t>Apache-2.0</t>
        </is>
      </c>
      <c r="E83" s="26" t="inlineStr">
        <is>
          <t>Small</t>
        </is>
      </c>
      <c r="F83" s="26" t="inlineStr">
        <is>
          <t>MoE</t>
        </is>
      </c>
      <c r="G83" s="34" t="n">
        <v>35</v>
      </c>
      <c r="H83" s="34" t="n">
        <v>3</v>
      </c>
      <c r="I83" s="26" t="inlineStr">
        <is>
          <t>256K</t>
        </is>
      </c>
      <c r="J83" s="26" t="inlineStr">
        <is>
          <t>2026-02-24</t>
        </is>
      </c>
      <c r="K83" s="26" t="inlineStr">
        <is>
          <t>optional</t>
        </is>
      </c>
      <c r="L83" s="35" t="n">
        <v>0.0067</v>
      </c>
      <c r="M83" s="35" t="n">
        <v>0.0022</v>
      </c>
      <c r="N83" s="35" t="n">
        <v>0.021</v>
      </c>
      <c r="O83" s="36" t="inlineStr">
        <is>
          <t>T4</t>
        </is>
      </c>
      <c r="P83" s="26" t="inlineStr">
        <is>
          <t>2026-02-24</t>
        </is>
      </c>
      <c r="Q83" s="26" t="inlineStr">
        <is>
          <t>T4-physics(A=3): e_out = 2*N_active/(eta*u*3600)*S with eta=1.4e12 FLOPs/J (H100-class BF16), u=0.3, S=1.7. Open weights, so this row can be moved to T1 by metering your own deployment (§4.8).</t>
        </is>
      </c>
      <c r="R83" s="26" t="inlineStr">
        <is>
          <t>Qwen model cards and technical reports (Alibaba), 2025-2026</t>
        </is>
      </c>
      <c r="S83" s="26" t="inlineStr">
        <is>
          <t>current</t>
        </is>
      </c>
    </row>
    <row r="84">
      <c r="A84" s="26" t="inlineStr">
        <is>
          <t>Qwen3.5-27B</t>
        </is>
      </c>
      <c r="B84" s="26" t="inlineStr">
        <is>
          <t>Alibaba</t>
        </is>
      </c>
      <c r="C84" s="38" t="inlineStr">
        <is>
          <t>Open</t>
        </is>
      </c>
      <c r="D84" s="26" t="inlineStr">
        <is>
          <t>Apache-2.0</t>
        </is>
      </c>
      <c r="E84" s="26" t="inlineStr">
        <is>
          <t>Mid</t>
        </is>
      </c>
      <c r="F84" s="26" t="inlineStr">
        <is>
          <t>dense</t>
        </is>
      </c>
      <c r="G84" s="34" t="n">
        <v>27</v>
      </c>
      <c r="H84" s="34" t="n">
        <v>27</v>
      </c>
      <c r="I84" s="26" t="inlineStr">
        <is>
          <t>256K</t>
        </is>
      </c>
      <c r="J84" s="26" t="inlineStr">
        <is>
          <t>2026-02-24</t>
        </is>
      </c>
      <c r="K84" s="26" t="inlineStr">
        <is>
          <t>optional</t>
        </is>
      </c>
      <c r="L84" s="35" t="n">
        <v>0.061</v>
      </c>
      <c r="M84" s="35" t="n">
        <v>0.02</v>
      </c>
      <c r="N84" s="35" t="n">
        <v>0.19</v>
      </c>
      <c r="O84" s="36" t="inlineStr">
        <is>
          <t>T4</t>
        </is>
      </c>
      <c r="P84" s="26" t="inlineStr">
        <is>
          <t>2026-02-24</t>
        </is>
      </c>
      <c r="Q84" s="26" t="inlineStr">
        <is>
          <t>T4-physics(A=27): e_out = 2*N_active/(eta*u*3600)*S with eta=1.4e12 FLOPs/J (H100-class BF16), u=0.3, S=1.7. Open weights, so this row can be moved to T1 by metering your own deployment (§4.8).</t>
        </is>
      </c>
      <c r="R84" s="26" t="inlineStr">
        <is>
          <t>Qwen model cards and technical reports (Alibaba), 2025-2026</t>
        </is>
      </c>
      <c r="S84" s="26" t="inlineStr">
        <is>
          <t>current</t>
        </is>
      </c>
    </row>
    <row r="85">
      <c r="A85" s="26" t="inlineStr">
        <is>
          <t>Qwen3.5-9B</t>
        </is>
      </c>
      <c r="B85" s="26" t="inlineStr">
        <is>
          <t>Alibaba</t>
        </is>
      </c>
      <c r="C85" s="38" t="inlineStr">
        <is>
          <t>Open</t>
        </is>
      </c>
      <c r="D85" s="26" t="inlineStr">
        <is>
          <t>Apache-2.0</t>
        </is>
      </c>
      <c r="E85" s="26" t="inlineStr">
        <is>
          <t>Small</t>
        </is>
      </c>
      <c r="F85" s="26" t="inlineStr">
        <is>
          <t>dense</t>
        </is>
      </c>
      <c r="G85" s="34" t="n">
        <v>9</v>
      </c>
      <c r="H85" s="34" t="n">
        <v>9</v>
      </c>
      <c r="I85" s="26" t="inlineStr">
        <is>
          <t>256K</t>
        </is>
      </c>
      <c r="J85" s="26" t="inlineStr">
        <is>
          <t>2026-03-02</t>
        </is>
      </c>
      <c r="K85" s="26" t="inlineStr">
        <is>
          <t>optional</t>
        </is>
      </c>
      <c r="L85" s="35" t="n">
        <v>0.02</v>
      </c>
      <c r="M85" s="35" t="n">
        <v>0.0066</v>
      </c>
      <c r="N85" s="35" t="n">
        <v>0.06</v>
      </c>
      <c r="O85" s="36" t="inlineStr">
        <is>
          <t>T4</t>
        </is>
      </c>
      <c r="P85" s="26" t="inlineStr">
        <is>
          <t>2026-03-02</t>
        </is>
      </c>
      <c r="Q85" s="26" t="inlineStr">
        <is>
          <t>T4-physics(A=9): e_out = 2*N_active/(eta*u*3600)*S with eta=1.4e12 FLOPs/J (H100-class BF16), u=0.3, S=1.7. Open weights, so this row can be moved to T1 by metering your own deployment (§4.8).</t>
        </is>
      </c>
      <c r="R85" s="26" t="inlineStr">
        <is>
          <t>Qwen model cards and technical reports (Alibaba), 2025-2026</t>
        </is>
      </c>
      <c r="S85" s="26" t="inlineStr">
        <is>
          <t>current</t>
        </is>
      </c>
    </row>
    <row r="86">
      <c r="A86" s="26" t="inlineStr">
        <is>
          <t>Qwen3.5-4B</t>
        </is>
      </c>
      <c r="B86" s="26" t="inlineStr">
        <is>
          <t>Alibaba</t>
        </is>
      </c>
      <c r="C86" s="38" t="inlineStr">
        <is>
          <t>Open</t>
        </is>
      </c>
      <c r="D86" s="26" t="inlineStr">
        <is>
          <t>Apache-2.0</t>
        </is>
      </c>
      <c r="E86" s="26" t="inlineStr">
        <is>
          <t>Tiny</t>
        </is>
      </c>
      <c r="F86" s="26" t="inlineStr">
        <is>
          <t>dense</t>
        </is>
      </c>
      <c r="G86" s="34" t="n">
        <v>4</v>
      </c>
      <c r="H86" s="34" t="n">
        <v>4</v>
      </c>
      <c r="I86" s="26" t="inlineStr">
        <is>
          <t>256K</t>
        </is>
      </c>
      <c r="J86" s="26" t="inlineStr">
        <is>
          <t>2026-03-02</t>
        </is>
      </c>
      <c r="K86" s="26" t="inlineStr">
        <is>
          <t>optional</t>
        </is>
      </c>
      <c r="L86" s="35" t="n">
        <v>0.008999999999999999</v>
      </c>
      <c r="M86" s="35" t="n">
        <v>0.0029</v>
      </c>
      <c r="N86" s="35" t="n">
        <v>0.027</v>
      </c>
      <c r="O86" s="36" t="inlineStr">
        <is>
          <t>T4</t>
        </is>
      </c>
      <c r="P86" s="26" t="inlineStr">
        <is>
          <t>2026-03-02</t>
        </is>
      </c>
      <c r="Q86" s="26" t="inlineStr">
        <is>
          <t>T4-physics(A=4): e_out = 2*N_active/(eta*u*3600)*S with eta=1.4e12 FLOPs/J (H100-class BF16), u=0.3, S=1.7. Open weights, so this row can be moved to T1 by metering your own deployment (§4.8).</t>
        </is>
      </c>
      <c r="R86" s="26" t="inlineStr">
        <is>
          <t>Qwen model cards and technical reports (Alibaba), 2025-2026</t>
        </is>
      </c>
      <c r="S86" s="26" t="inlineStr">
        <is>
          <t>current</t>
        </is>
      </c>
    </row>
    <row r="87">
      <c r="A87" s="26" t="inlineStr">
        <is>
          <t>Qwen3-Omni-30B-A3B</t>
        </is>
      </c>
      <c r="B87" s="26" t="inlineStr">
        <is>
          <t>Alibaba</t>
        </is>
      </c>
      <c r="C87" s="38" t="inlineStr">
        <is>
          <t>Open</t>
        </is>
      </c>
      <c r="D87" s="26" t="inlineStr">
        <is>
          <t>Apache-2.0</t>
        </is>
      </c>
      <c r="E87" s="26" t="inlineStr">
        <is>
          <t>Small</t>
        </is>
      </c>
      <c r="F87" s="26" t="inlineStr">
        <is>
          <t>MoE</t>
        </is>
      </c>
      <c r="G87" s="34" t="n">
        <v>30</v>
      </c>
      <c r="H87" s="34" t="n">
        <v>3</v>
      </c>
      <c r="I87" s="26" t="inlineStr">
        <is>
          <t>128K</t>
        </is>
      </c>
      <c r="J87" s="26" t="inlineStr">
        <is>
          <t>2025-09</t>
        </is>
      </c>
      <c r="K87" s="26" t="inlineStr">
        <is>
          <t>optional</t>
        </is>
      </c>
      <c r="L87" s="35" t="n">
        <v>0.0067</v>
      </c>
      <c r="M87" s="35" t="n">
        <v>0.0022</v>
      </c>
      <c r="N87" s="35" t="n">
        <v>0.021</v>
      </c>
      <c r="O87" s="36" t="inlineStr">
        <is>
          <t>T4</t>
        </is>
      </c>
      <c r="P87" s="26" t="inlineStr">
        <is>
          <t>2025-09</t>
        </is>
      </c>
      <c r="Q87" s="26" t="inlineStr">
        <is>
          <t>T4-physics(A=3): e_out = 2*N_active/(eta*u*3600)*S with eta=1.4e12 FLOPs/J (H100-class BF16), u=0.3, S=1.7. Open weights, so this row can be moved to T1 by metering your own deployment (§4.8).</t>
        </is>
      </c>
      <c r="R87" s="26" t="inlineStr">
        <is>
          <t>Qwen model cards and technical reports (Alibaba), 2025-2026</t>
        </is>
      </c>
      <c r="S87" s="26" t="inlineStr">
        <is>
          <t>current</t>
        </is>
      </c>
    </row>
    <row r="88">
      <c r="A88" s="26" t="inlineStr">
        <is>
          <t>Qwen3 235B-A22B</t>
        </is>
      </c>
      <c r="B88" s="26" t="inlineStr">
        <is>
          <t>Alibaba</t>
        </is>
      </c>
      <c r="C88" s="38" t="inlineStr">
        <is>
          <t>Open</t>
        </is>
      </c>
      <c r="D88" s="26" t="inlineStr">
        <is>
          <t>Apache-2.0</t>
        </is>
      </c>
      <c r="E88" s="26" t="inlineStr">
        <is>
          <t>Frontier</t>
        </is>
      </c>
      <c r="F88" s="26" t="inlineStr">
        <is>
          <t>MoE</t>
        </is>
      </c>
      <c r="G88" s="34" t="n">
        <v>235</v>
      </c>
      <c r="H88" s="34" t="n">
        <v>22</v>
      </c>
      <c r="I88" s="26" t="inlineStr">
        <is>
          <t>128K</t>
        </is>
      </c>
      <c r="J88" s="26" t="inlineStr">
        <is>
          <t>2025-04</t>
        </is>
      </c>
      <c r="K88" s="26" t="inlineStr">
        <is>
          <t>optional</t>
        </is>
      </c>
      <c r="L88" s="35" t="n">
        <v>0.049</v>
      </c>
      <c r="M88" s="35" t="n">
        <v>0.016</v>
      </c>
      <c r="N88" s="35" t="n">
        <v>0.15</v>
      </c>
      <c r="O88" s="36" t="inlineStr">
        <is>
          <t>T4</t>
        </is>
      </c>
      <c r="P88" s="26" t="inlineStr">
        <is>
          <t>2025-04</t>
        </is>
      </c>
      <c r="Q88" s="26" t="inlineStr">
        <is>
          <t>T4-physics(A=22): e_out = 2*N_active/(eta*u*3600)*S with eta=1.4e12 FLOPs/J (H100-class BF16), u=0.3, S=1.7. Open weights, so this row can be moved to T1 by metering your own deployment (§4.8).</t>
        </is>
      </c>
      <c r="R88" s="26" t="inlineStr">
        <is>
          <t>Qwen model cards and technical reports (Alibaba), 2025-2026</t>
        </is>
      </c>
      <c r="S88" s="26" t="inlineStr">
        <is>
          <t>legacy</t>
        </is>
      </c>
    </row>
    <row r="89">
      <c r="A89" s="26" t="inlineStr">
        <is>
          <t>Qwen3 32B</t>
        </is>
      </c>
      <c r="B89" s="26" t="inlineStr">
        <is>
          <t>Alibaba</t>
        </is>
      </c>
      <c r="C89" s="38" t="inlineStr">
        <is>
          <t>Open</t>
        </is>
      </c>
      <c r="D89" s="26" t="inlineStr">
        <is>
          <t>Apache-2.0</t>
        </is>
      </c>
      <c r="E89" s="26" t="inlineStr">
        <is>
          <t>Mid</t>
        </is>
      </c>
      <c r="F89" s="26" t="inlineStr">
        <is>
          <t>dense</t>
        </is>
      </c>
      <c r="G89" s="34" t="n">
        <v>32</v>
      </c>
      <c r="H89" s="34" t="n">
        <v>32</v>
      </c>
      <c r="I89" s="26" t="inlineStr">
        <is>
          <t>128K</t>
        </is>
      </c>
      <c r="J89" s="26" t="inlineStr">
        <is>
          <t>2025-04</t>
        </is>
      </c>
      <c r="K89" s="26" t="inlineStr">
        <is>
          <t>optional</t>
        </is>
      </c>
      <c r="L89" s="35" t="n">
        <v>0.07199999999999999</v>
      </c>
      <c r="M89" s="35" t="n">
        <v>0.023</v>
      </c>
      <c r="N89" s="35" t="n">
        <v>0.22</v>
      </c>
      <c r="O89" s="36" t="inlineStr">
        <is>
          <t>T4</t>
        </is>
      </c>
      <c r="P89" s="26" t="inlineStr">
        <is>
          <t>2025-04</t>
        </is>
      </c>
      <c r="Q89" s="26" t="inlineStr">
        <is>
          <t>T4-physics(A=32): e_out = 2*N_active/(eta*u*3600)*S with eta=1.4e12 FLOPs/J (H100-class BF16), u=0.3, S=1.7. Open weights, so this row can be moved to T1 by metering your own deployment (§4.8).</t>
        </is>
      </c>
      <c r="R89" s="26" t="inlineStr">
        <is>
          <t>Qwen model cards and technical reports (Alibaba), 2025-2026</t>
        </is>
      </c>
      <c r="S89" s="26" t="inlineStr">
        <is>
          <t>legacy</t>
        </is>
      </c>
    </row>
    <row r="90">
      <c r="A90" s="26" t="inlineStr">
        <is>
          <t>Kimi K3</t>
        </is>
      </c>
      <c r="B90" s="26" t="inlineStr">
        <is>
          <t>Moonshot AI</t>
        </is>
      </c>
      <c r="C90" s="38" t="inlineStr">
        <is>
          <t>Open</t>
        </is>
      </c>
      <c r="D90" s="26" t="inlineStr">
        <is>
          <t>Modified MIT</t>
        </is>
      </c>
      <c r="E90" s="26" t="inlineStr">
        <is>
          <t>Frontier</t>
        </is>
      </c>
      <c r="F90" s="26" t="inlineStr">
        <is>
          <t>MoE</t>
        </is>
      </c>
      <c r="G90" s="34" t="n">
        <v>2800</v>
      </c>
      <c r="H90" s="34" t="n">
        <v>104</v>
      </c>
      <c r="I90" s="26" t="inlineStr">
        <is>
          <t>256K</t>
        </is>
      </c>
      <c r="J90" s="26" t="inlineStr">
        <is>
          <t>2026-07-26</t>
        </is>
      </c>
      <c r="K90" s="26" t="inlineStr">
        <is>
          <t>always</t>
        </is>
      </c>
      <c r="L90" s="35" t="n">
        <v>0.23</v>
      </c>
      <c r="M90" s="35" t="n">
        <v>0.076</v>
      </c>
      <c r="N90" s="35" t="n">
        <v>0.6899999999999999</v>
      </c>
      <c r="O90" s="36" t="inlineStr">
        <is>
          <t>T4</t>
        </is>
      </c>
      <c r="P90" s="26" t="inlineStr">
        <is>
          <t>2026-07-26</t>
        </is>
      </c>
      <c r="Q90" s="26" t="inlineStr">
        <is>
          <t>T4-physics(A=104): e_out = 2*N_active/(eta*u*3600)*S with eta=1.4e12 FLOPs/J (H100-class BF16), u=0.3, S=1.7. Open weights, so this row can be moved to T1 by metering your own deployment (§4.8).</t>
        </is>
      </c>
      <c r="R90" s="26" t="inlineStr">
        <is>
          <t>Moonshot AI Kimi K3 model card (2026)</t>
        </is>
      </c>
      <c r="S90" s="26" t="inlineStr">
        <is>
          <t>current</t>
        </is>
      </c>
    </row>
    <row r="91">
      <c r="A91" s="26" t="inlineStr">
        <is>
          <t>Kimi K2.6</t>
        </is>
      </c>
      <c r="B91" s="26" t="inlineStr">
        <is>
          <t>Moonshot AI</t>
        </is>
      </c>
      <c r="C91" s="38" t="inlineStr">
        <is>
          <t>Open</t>
        </is>
      </c>
      <c r="D91" s="26" t="inlineStr">
        <is>
          <t>Modified MIT</t>
        </is>
      </c>
      <c r="E91" s="26" t="inlineStr">
        <is>
          <t>Frontier</t>
        </is>
      </c>
      <c r="F91" s="26" t="inlineStr">
        <is>
          <t>MoE</t>
        </is>
      </c>
      <c r="G91" s="34" t="n">
        <v>1000</v>
      </c>
      <c r="H91" s="34" t="n">
        <v>32</v>
      </c>
      <c r="I91" s="26" t="inlineStr">
        <is>
          <t>256K</t>
        </is>
      </c>
      <c r="J91" s="26" t="inlineStr">
        <is>
          <t>2026-04-20</t>
        </is>
      </c>
      <c r="K91" s="26" t="inlineStr">
        <is>
          <t>always</t>
        </is>
      </c>
      <c r="L91" s="35" t="n">
        <v>0.07199999999999999</v>
      </c>
      <c r="M91" s="35" t="n">
        <v>0.023</v>
      </c>
      <c r="N91" s="35" t="n">
        <v>0.22</v>
      </c>
      <c r="O91" s="36" t="inlineStr">
        <is>
          <t>T4</t>
        </is>
      </c>
      <c r="P91" s="26" t="inlineStr">
        <is>
          <t>2026-04-20</t>
        </is>
      </c>
      <c r="Q91" s="26" t="inlineStr">
        <is>
          <t>T4-physics(A=32): e_out = 2*N_active/(eta*u*3600)*S with eta=1.4e12 FLOPs/J (H100-class BF16), u=0.3, S=1.7. Open weights, so this row can be moved to T1 by metering your own deployment (§4.8).</t>
        </is>
      </c>
      <c r="R91" s="26" t="inlineStr">
        <is>
          <t>Moonshot AI Kimi model cards (2026)</t>
        </is>
      </c>
      <c r="S91" s="26" t="inlineStr">
        <is>
          <t>current</t>
        </is>
      </c>
    </row>
    <row r="92">
      <c r="A92" s="26" t="inlineStr">
        <is>
          <t>Kimi K2.7-Code</t>
        </is>
      </c>
      <c r="B92" s="26" t="inlineStr">
        <is>
          <t>Moonshot AI</t>
        </is>
      </c>
      <c r="C92" s="38" t="inlineStr">
        <is>
          <t>Open</t>
        </is>
      </c>
      <c r="D92" s="26" t="inlineStr">
        <is>
          <t>Modified MIT</t>
        </is>
      </c>
      <c r="E92" s="26" t="inlineStr">
        <is>
          <t>Frontier</t>
        </is>
      </c>
      <c r="F92" s="26" t="inlineStr">
        <is>
          <t>MoE</t>
        </is>
      </c>
      <c r="G92" s="34" t="n">
        <v>1000</v>
      </c>
      <c r="H92" s="34" t="n">
        <v>32</v>
      </c>
      <c r="I92" s="26" t="inlineStr">
        <is>
          <t>256K</t>
        </is>
      </c>
      <c r="J92" s="26" t="inlineStr">
        <is>
          <t>2026-06</t>
        </is>
      </c>
      <c r="K92" s="26" t="inlineStr">
        <is>
          <t>always</t>
        </is>
      </c>
      <c r="L92" s="35" t="n">
        <v>0.07199999999999999</v>
      </c>
      <c r="M92" s="35" t="n">
        <v>0.023</v>
      </c>
      <c r="N92" s="35" t="n">
        <v>0.22</v>
      </c>
      <c r="O92" s="36" t="inlineStr">
        <is>
          <t>T4</t>
        </is>
      </c>
      <c r="P92" s="26" t="inlineStr">
        <is>
          <t>2026-06</t>
        </is>
      </c>
      <c r="Q92" s="26" t="inlineStr">
        <is>
          <t>T4-physics(A=32): e_out = 2*N_active/(eta*u*3600)*S with eta=1.4e12 FLOPs/J (H100-class BF16), u=0.3, S=1.7. Open weights, so this row can be moved to T1 by metering your own deployment (§4.8).</t>
        </is>
      </c>
      <c r="R92" s="26" t="inlineStr">
        <is>
          <t>Moonshot AI Kimi model cards (2026)</t>
        </is>
      </c>
      <c r="S92" s="26" t="inlineStr">
        <is>
          <t>current</t>
        </is>
      </c>
    </row>
    <row r="93">
      <c r="A93" s="26" t="inlineStr">
        <is>
          <t>GLM-5.3</t>
        </is>
      </c>
      <c r="B93" s="26" t="inlineStr">
        <is>
          <t>Z.ai (Zhipu AI)</t>
        </is>
      </c>
      <c r="C93" s="38" t="inlineStr">
        <is>
          <t>Open</t>
        </is>
      </c>
      <c r="D93" s="26" t="inlineStr">
        <is>
          <t>MIT</t>
        </is>
      </c>
      <c r="E93" s="26" t="inlineStr">
        <is>
          <t>Frontier</t>
        </is>
      </c>
      <c r="F93" s="26" t="inlineStr">
        <is>
          <t>MoE</t>
        </is>
      </c>
      <c r="G93" s="34" t="n">
        <v>744</v>
      </c>
      <c r="H93" s="34" t="n">
        <v>40</v>
      </c>
      <c r="I93" s="26" t="inlineStr">
        <is>
          <t>200K</t>
        </is>
      </c>
      <c r="J93" s="26" t="inlineStr">
        <is>
          <t>2026-08-28</t>
        </is>
      </c>
      <c r="K93" s="26" t="inlineStr">
        <is>
          <t>mixed</t>
        </is>
      </c>
      <c r="L93" s="35" t="n">
        <v>0.09</v>
      </c>
      <c r="M93" s="35" t="n">
        <v>0.03</v>
      </c>
      <c r="N93" s="35" t="n">
        <v>0.27</v>
      </c>
      <c r="O93" s="36" t="inlineStr">
        <is>
          <t>T4</t>
        </is>
      </c>
      <c r="P93" s="26" t="inlineStr">
        <is>
          <t>2026-08-28</t>
        </is>
      </c>
      <c r="Q93" s="26" t="inlineStr">
        <is>
          <t>T4-physics(A=40): e_out = 2*N_active/(eta*u*3600)*S with eta=1.4e12 FLOPs/J (H100-class BF16), u=0.3, S=1.7. Open weights, so this row can be moved to T1 by metering your own deployment (§4.8).</t>
        </is>
      </c>
      <c r="R93" s="26" t="inlineStr">
        <is>
          <t>Z.ai GLM model cards (2026)</t>
        </is>
      </c>
      <c r="S93" s="26" t="inlineStr">
        <is>
          <t>current</t>
        </is>
      </c>
    </row>
    <row r="94">
      <c r="A94" s="26" t="inlineStr">
        <is>
          <t>GLM-5.3-Flash</t>
        </is>
      </c>
      <c r="B94" s="26" t="inlineStr">
        <is>
          <t>Z.ai (Zhipu AI)</t>
        </is>
      </c>
      <c r="C94" s="38" t="inlineStr">
        <is>
          <t>Open</t>
        </is>
      </c>
      <c r="D94" s="26" t="inlineStr">
        <is>
          <t>MIT</t>
        </is>
      </c>
      <c r="E94" s="26" t="inlineStr">
        <is>
          <t>Mid</t>
        </is>
      </c>
      <c r="F94" s="26" t="inlineStr">
        <is>
          <t>MoE</t>
        </is>
      </c>
      <c r="G94" s="34" t="n">
        <v>320</v>
      </c>
      <c r="H94" s="34" t="n">
        <v>18</v>
      </c>
      <c r="I94" s="26" t="inlineStr">
        <is>
          <t>200K</t>
        </is>
      </c>
      <c r="J94" s="26" t="inlineStr">
        <is>
          <t>2026-08-26</t>
        </is>
      </c>
      <c r="K94" s="26" t="inlineStr">
        <is>
          <t>mixed</t>
        </is>
      </c>
      <c r="L94" s="35" t="n">
        <v>0.04</v>
      </c>
      <c r="M94" s="35" t="n">
        <v>0.013</v>
      </c>
      <c r="N94" s="35" t="n">
        <v>0.12</v>
      </c>
      <c r="O94" s="36" t="inlineStr">
        <is>
          <t>T4</t>
        </is>
      </c>
      <c r="P94" s="26" t="inlineStr">
        <is>
          <t>2026-08-26</t>
        </is>
      </c>
      <c r="Q94" s="26" t="inlineStr">
        <is>
          <t>T4-physics(A=18): e_out = 2*N_active/(eta*u*3600)*S with eta=1.4e12 FLOPs/J (H100-class BF16), u=0.3, S=1.7. Open weights, so this row can be moved to T1 by metering your own deployment (§4.8).</t>
        </is>
      </c>
      <c r="R94" s="26" t="inlineStr">
        <is>
          <t>Z.ai GLM model cards (2026)</t>
        </is>
      </c>
      <c r="S94" s="26" t="inlineStr">
        <is>
          <t>current</t>
        </is>
      </c>
    </row>
    <row r="95">
      <c r="A95" s="26" t="inlineStr">
        <is>
          <t>GLM-5.2</t>
        </is>
      </c>
      <c r="B95" s="26" t="inlineStr">
        <is>
          <t>Z.ai (Zhipu AI)</t>
        </is>
      </c>
      <c r="C95" s="38" t="inlineStr">
        <is>
          <t>Open</t>
        </is>
      </c>
      <c r="D95" s="26" t="inlineStr">
        <is>
          <t>MIT</t>
        </is>
      </c>
      <c r="E95" s="26" t="inlineStr">
        <is>
          <t>Frontier</t>
        </is>
      </c>
      <c r="F95" s="26" t="inlineStr">
        <is>
          <t>MoE</t>
        </is>
      </c>
      <c r="G95" s="34" t="n">
        <v>744</v>
      </c>
      <c r="H95" s="34" t="n">
        <v>40</v>
      </c>
      <c r="I95" s="26" t="inlineStr">
        <is>
          <t>200K</t>
        </is>
      </c>
      <c r="J95" s="26" t="inlineStr">
        <is>
          <t>2026-06</t>
        </is>
      </c>
      <c r="K95" s="26" t="inlineStr">
        <is>
          <t>mixed</t>
        </is>
      </c>
      <c r="L95" s="35" t="n">
        <v>0.09</v>
      </c>
      <c r="M95" s="35" t="n">
        <v>0.03</v>
      </c>
      <c r="N95" s="35" t="n">
        <v>0.27</v>
      </c>
      <c r="O95" s="36" t="inlineStr">
        <is>
          <t>T4</t>
        </is>
      </c>
      <c r="P95" s="26" t="inlineStr">
        <is>
          <t>2026-06</t>
        </is>
      </c>
      <c r="Q95" s="26" t="inlineStr">
        <is>
          <t>T4-physics(A=40): e_out = 2*N_active/(eta*u*3600)*S with eta=1.4e12 FLOPs/J (H100-class BF16), u=0.3, S=1.7. Open weights, so this row can be moved to T1 by metering your own deployment (§4.8).</t>
        </is>
      </c>
      <c r="R95" s="26" t="inlineStr">
        <is>
          <t>Z.ai GLM model cards (2026)</t>
        </is>
      </c>
      <c r="S95" s="26" t="inlineStr">
        <is>
          <t>current</t>
        </is>
      </c>
    </row>
    <row r="96">
      <c r="A96" s="26" t="inlineStr">
        <is>
          <t>MiniMax-M3</t>
        </is>
      </c>
      <c r="B96" s="26" t="inlineStr">
        <is>
          <t>MiniMax</t>
        </is>
      </c>
      <c r="C96" s="38" t="inlineStr">
        <is>
          <t>Open</t>
        </is>
      </c>
      <c r="D96" s="26" t="inlineStr">
        <is>
          <t>Apache-2.0</t>
        </is>
      </c>
      <c r="E96" s="26" t="inlineStr">
        <is>
          <t>Frontier</t>
        </is>
      </c>
      <c r="F96" s="26" t="inlineStr">
        <is>
          <t>MoE</t>
        </is>
      </c>
      <c r="G96" s="34" t="n">
        <v>428</v>
      </c>
      <c r="H96" s="34" t="n">
        <v>23</v>
      </c>
      <c r="I96" s="26" t="inlineStr">
        <is>
          <t>1M</t>
        </is>
      </c>
      <c r="J96" s="26" t="inlineStr">
        <is>
          <t>2026-06-07</t>
        </is>
      </c>
      <c r="K96" s="26" t="inlineStr">
        <is>
          <t>mixed</t>
        </is>
      </c>
      <c r="L96" s="35" t="n">
        <v>0.052</v>
      </c>
      <c r="M96" s="35" t="n">
        <v>0.017</v>
      </c>
      <c r="N96" s="35" t="n">
        <v>0.16</v>
      </c>
      <c r="O96" s="36" t="inlineStr">
        <is>
          <t>T4</t>
        </is>
      </c>
      <c r="P96" s="26" t="inlineStr">
        <is>
          <t>2026-06-07</t>
        </is>
      </c>
      <c r="Q96" s="26" t="inlineStr">
        <is>
          <t>T4-physics(A=23): e_out = 2*N_active/(eta*u*3600)*S with eta=1.4e12 FLOPs/J (H100-class BF16), u=0.3, S=1.7. Open weights, so this row can be moved to T1 by metering your own deployment (§4.8).</t>
        </is>
      </c>
      <c r="R96" s="26" t="inlineStr">
        <is>
          <t>MiniMax model cards (2026)</t>
        </is>
      </c>
      <c r="S96" s="26" t="inlineStr">
        <is>
          <t>current</t>
        </is>
      </c>
    </row>
    <row r="97">
      <c r="A97" s="26" t="inlineStr">
        <is>
          <t>MiniMax-M2.7</t>
        </is>
      </c>
      <c r="B97" s="26" t="inlineStr">
        <is>
          <t>MiniMax</t>
        </is>
      </c>
      <c r="C97" s="38" t="inlineStr">
        <is>
          <t>Open</t>
        </is>
      </c>
      <c r="D97" s="26" t="inlineStr">
        <is>
          <t>Apache-2.0</t>
        </is>
      </c>
      <c r="E97" s="26" t="inlineStr">
        <is>
          <t>Mid</t>
        </is>
      </c>
      <c r="F97" s="26" t="inlineStr">
        <is>
          <t>MoE</t>
        </is>
      </c>
      <c r="G97" s="34" t="n">
        <v>230</v>
      </c>
      <c r="H97" s="34" t="n">
        <v>10</v>
      </c>
      <c r="I97" s="26" t="inlineStr">
        <is>
          <t>1M</t>
        </is>
      </c>
      <c r="J97" s="26" t="inlineStr">
        <is>
          <t>2026-03-18</t>
        </is>
      </c>
      <c r="K97" s="26" t="inlineStr">
        <is>
          <t>mixed</t>
        </is>
      </c>
      <c r="L97" s="35" t="n">
        <v>0.022</v>
      </c>
      <c r="M97" s="35" t="n">
        <v>0.0073</v>
      </c>
      <c r="N97" s="35" t="n">
        <v>0.066</v>
      </c>
      <c r="O97" s="36" t="inlineStr">
        <is>
          <t>T4</t>
        </is>
      </c>
      <c r="P97" s="26" t="inlineStr">
        <is>
          <t>2026-03-18</t>
        </is>
      </c>
      <c r="Q97" s="26" t="inlineStr">
        <is>
          <t>T4-physics(A=10): e_out = 2*N_active/(eta*u*3600)*S with eta=1.4e12 FLOPs/J (H100-class BF16), u=0.3, S=1.7. Open weights, so this row can be moved to T1 by metering your own deployment (§4.8).</t>
        </is>
      </c>
      <c r="R97" s="26" t="inlineStr">
        <is>
          <t>MiniMax model cards (2026)</t>
        </is>
      </c>
      <c r="S97" s="26" t="inlineStr">
        <is>
          <t>current</t>
        </is>
      </c>
    </row>
    <row r="98">
      <c r="A98" s="26" t="inlineStr">
        <is>
          <t>Hunyuan Hy3</t>
        </is>
      </c>
      <c r="B98" s="26" t="inlineStr">
        <is>
          <t>Tencent</t>
        </is>
      </c>
      <c r="C98" s="38" t="inlineStr">
        <is>
          <t>Open</t>
        </is>
      </c>
      <c r="D98" s="26" t="inlineStr">
        <is>
          <t>Tencent Hunyuan Community</t>
        </is>
      </c>
      <c r="E98" s="26" t="inlineStr">
        <is>
          <t>Frontier</t>
        </is>
      </c>
      <c r="F98" s="26" t="inlineStr">
        <is>
          <t>MoE</t>
        </is>
      </c>
      <c r="G98" s="34" t="n">
        <v>295</v>
      </c>
      <c r="H98" s="34" t="n">
        <v>21</v>
      </c>
      <c r="I98" s="26" t="inlineStr">
        <is>
          <t>256K</t>
        </is>
      </c>
      <c r="J98" s="26" t="inlineStr">
        <is>
          <t>2026-07-06</t>
        </is>
      </c>
      <c r="K98" s="26" t="inlineStr">
        <is>
          <t>always</t>
        </is>
      </c>
      <c r="L98" s="35" t="n">
        <v>0.047</v>
      </c>
      <c r="M98" s="35" t="n">
        <v>0.015</v>
      </c>
      <c r="N98" s="35" t="n">
        <v>0.15</v>
      </c>
      <c r="O98" s="36" t="inlineStr">
        <is>
          <t>T4</t>
        </is>
      </c>
      <c r="P98" s="26" t="inlineStr">
        <is>
          <t>2026-07-06</t>
        </is>
      </c>
      <c r="Q98" s="26" t="inlineStr">
        <is>
          <t>T4-physics(A=21): e_out = 2*N_active/(eta*u*3600)*S with eta=1.4e12 FLOPs/J (H100-class BF16), u=0.3, S=1.7. Open weights, so this row can be moved to T1 by metering your own deployment (§4.8).</t>
        </is>
      </c>
      <c r="R98" s="26" t="inlineStr">
        <is>
          <t>Tencent Hunyuan model cards (2026)</t>
        </is>
      </c>
      <c r="S98" s="26" t="inlineStr">
        <is>
          <t>current</t>
        </is>
      </c>
    </row>
    <row r="99">
      <c r="A99" s="26" t="inlineStr">
        <is>
          <t>MiMo-V2.5-Pro</t>
        </is>
      </c>
      <c r="B99" s="26" t="inlineStr">
        <is>
          <t>Xiaomi</t>
        </is>
      </c>
      <c r="C99" s="38" t="inlineStr">
        <is>
          <t>Open</t>
        </is>
      </c>
      <c r="D99" s="26" t="inlineStr">
        <is>
          <t>Apache-2.0</t>
        </is>
      </c>
      <c r="E99" s="26" t="inlineStr">
        <is>
          <t>Frontier</t>
        </is>
      </c>
      <c r="F99" s="26" t="inlineStr">
        <is>
          <t>MoE</t>
        </is>
      </c>
      <c r="G99" s="34" t="n">
        <v>1020</v>
      </c>
      <c r="H99" s="34" t="n">
        <v>42</v>
      </c>
      <c r="I99" s="26" t="inlineStr">
        <is>
          <t>256K</t>
        </is>
      </c>
      <c r="J99" s="26" t="inlineStr">
        <is>
          <t>2026-04-28</t>
        </is>
      </c>
      <c r="K99" s="26" t="inlineStr">
        <is>
          <t>always</t>
        </is>
      </c>
      <c r="L99" s="35" t="n">
        <v>0.094</v>
      </c>
      <c r="M99" s="35" t="n">
        <v>0.031</v>
      </c>
      <c r="N99" s="35" t="n">
        <v>0.29</v>
      </c>
      <c r="O99" s="36" t="inlineStr">
        <is>
          <t>T4</t>
        </is>
      </c>
      <c r="P99" s="26" t="inlineStr">
        <is>
          <t>2026-04-28</t>
        </is>
      </c>
      <c r="Q99" s="26" t="inlineStr">
        <is>
          <t>T4-physics(A=42): e_out = 2*N_active/(eta*u*3600)*S with eta=1.4e12 FLOPs/J (H100-class BF16), u=0.3, S=1.7. Open weights, so this row can be moved to T1 by metering your own deployment (§4.8).</t>
        </is>
      </c>
      <c r="R99" s="26" t="inlineStr">
        <is>
          <t>Xiaomi MiMo model cards (2026)</t>
        </is>
      </c>
      <c r="S99" s="26" t="inlineStr">
        <is>
          <t>current</t>
        </is>
      </c>
    </row>
    <row r="100">
      <c r="A100" s="26" t="inlineStr">
        <is>
          <t>MiMo-V2.5</t>
        </is>
      </c>
      <c r="B100" s="26" t="inlineStr">
        <is>
          <t>Xiaomi</t>
        </is>
      </c>
      <c r="C100" s="38" t="inlineStr">
        <is>
          <t>Open</t>
        </is>
      </c>
      <c r="D100" s="26" t="inlineStr">
        <is>
          <t>Apache-2.0</t>
        </is>
      </c>
      <c r="E100" s="26" t="inlineStr">
        <is>
          <t>Frontier</t>
        </is>
      </c>
      <c r="F100" s="26" t="inlineStr">
        <is>
          <t>MoE</t>
        </is>
      </c>
      <c r="G100" s="34" t="n">
        <v>310</v>
      </c>
      <c r="H100" s="34" t="n">
        <v>15</v>
      </c>
      <c r="I100" s="26" t="inlineStr">
        <is>
          <t>256K</t>
        </is>
      </c>
      <c r="J100" s="26" t="inlineStr">
        <is>
          <t>2026-04-28</t>
        </is>
      </c>
      <c r="K100" s="26" t="inlineStr">
        <is>
          <t>mixed</t>
        </is>
      </c>
      <c r="L100" s="35" t="n">
        <v>0.034</v>
      </c>
      <c r="M100" s="35" t="n">
        <v>0.011</v>
      </c>
      <c r="N100" s="35" t="n">
        <v>0.11</v>
      </c>
      <c r="O100" s="36" t="inlineStr">
        <is>
          <t>T4</t>
        </is>
      </c>
      <c r="P100" s="26" t="inlineStr">
        <is>
          <t>2026-04-28</t>
        </is>
      </c>
      <c r="Q100" s="26" t="inlineStr">
        <is>
          <t>T4-physics(A=15): e_out = 2*N_active/(eta*u*3600)*S with eta=1.4e12 FLOPs/J (H100-class BF16), u=0.3, S=1.7. Open weights, so this row can be moved to T1 by metering your own deployment (§4.8).</t>
        </is>
      </c>
      <c r="R100" s="26" t="inlineStr">
        <is>
          <t>Xiaomi MiMo model cards (2026)</t>
        </is>
      </c>
      <c r="S100" s="26" t="inlineStr">
        <is>
          <t>current</t>
        </is>
      </c>
    </row>
    <row r="101">
      <c r="A101" s="26" t="inlineStr">
        <is>
          <t>Intern-S1-Pro</t>
        </is>
      </c>
      <c r="B101" s="26" t="inlineStr">
        <is>
          <t>Shanghai AI Laboratory</t>
        </is>
      </c>
      <c r="C101" s="38" t="inlineStr">
        <is>
          <t>Open</t>
        </is>
      </c>
      <c r="D101" s="26" t="inlineStr">
        <is>
          <t>Apache-2.0</t>
        </is>
      </c>
      <c r="E101" s="26" t="inlineStr">
        <is>
          <t>Frontier</t>
        </is>
      </c>
      <c r="F101" s="26" t="inlineStr">
        <is>
          <t>MoE</t>
        </is>
      </c>
      <c r="G101" s="34" t="n">
        <v>1000</v>
      </c>
      <c r="H101" s="34" t="n">
        <v>22</v>
      </c>
      <c r="I101" s="26" t="inlineStr">
        <is>
          <t>256K</t>
        </is>
      </c>
      <c r="J101" s="26" t="inlineStr">
        <is>
          <t>2026-02-04</t>
        </is>
      </c>
      <c r="K101" s="26" t="inlineStr">
        <is>
          <t>always</t>
        </is>
      </c>
      <c r="L101" s="35" t="n">
        <v>0.049</v>
      </c>
      <c r="M101" s="35" t="n">
        <v>0.016</v>
      </c>
      <c r="N101" s="35" t="n">
        <v>0.15</v>
      </c>
      <c r="O101" s="36" t="inlineStr">
        <is>
          <t>T4</t>
        </is>
      </c>
      <c r="P101" s="26" t="inlineStr">
        <is>
          <t>2026-02-04</t>
        </is>
      </c>
      <c r="Q101" s="26" t="inlineStr">
        <is>
          <t>T4-physics(A=22): e_out = 2*N_active/(eta*u*3600)*S with eta=1.4e12 FLOPs/J (H100-class BF16), u=0.3, S=1.7. Open weights, so this row can be moved to T1 by metering your own deployment (§4.8).</t>
        </is>
      </c>
      <c r="R101" s="26" t="inlineStr">
        <is>
          <t>Shanghai AI Laboratory InternLM model cards (2026)</t>
        </is>
      </c>
      <c r="S101" s="26" t="inlineStr">
        <is>
          <t>current</t>
        </is>
      </c>
    </row>
    <row r="102">
      <c r="A102" s="26" t="inlineStr">
        <is>
          <t>Ring-2.6-1T</t>
        </is>
      </c>
      <c r="B102" s="26" t="inlineStr">
        <is>
          <t>inclusionAI (Ant Group)</t>
        </is>
      </c>
      <c r="C102" s="38" t="inlineStr">
        <is>
          <t>Open</t>
        </is>
      </c>
      <c r="D102" s="26" t="inlineStr">
        <is>
          <t>MIT</t>
        </is>
      </c>
      <c r="E102" s="26" t="inlineStr">
        <is>
          <t>Frontier</t>
        </is>
      </c>
      <c r="F102" s="26" t="inlineStr">
        <is>
          <t>MoE</t>
        </is>
      </c>
      <c r="G102" s="34" t="n">
        <v>1000</v>
      </c>
      <c r="H102" s="34" t="n">
        <v>63</v>
      </c>
      <c r="I102" s="26" t="inlineStr">
        <is>
          <t>128K</t>
        </is>
      </c>
      <c r="J102" s="26" t="inlineStr">
        <is>
          <t>2026-05-08</t>
        </is>
      </c>
      <c r="K102" s="26" t="inlineStr">
        <is>
          <t>always</t>
        </is>
      </c>
      <c r="L102" s="35" t="n">
        <v>0.14</v>
      </c>
      <c r="M102" s="35" t="n">
        <v>0.046</v>
      </c>
      <c r="N102" s="35" t="n">
        <v>0.42</v>
      </c>
      <c r="O102" s="36" t="inlineStr">
        <is>
          <t>T4</t>
        </is>
      </c>
      <c r="P102" s="26" t="inlineStr">
        <is>
          <t>2026-05-08</t>
        </is>
      </c>
      <c r="Q102" s="26" t="inlineStr">
        <is>
          <t>T4-physics(A=63): e_out = 2*N_active/(eta*u*3600)*S with eta=1.4e12 FLOPs/J (H100-class BF16), u=0.3, S=1.7. Open weights, so this row can be moved to T1 by metering your own deployment (§4.8).</t>
        </is>
      </c>
      <c r="R102" s="26" t="inlineStr">
        <is>
          <t>inclusionAI Ling/Ring model cards (2026)</t>
        </is>
      </c>
      <c r="S102" s="26" t="inlineStr">
        <is>
          <t>current</t>
        </is>
      </c>
    </row>
    <row r="103">
      <c r="A103" s="26" t="inlineStr">
        <is>
          <t>Ling-3.0-flash</t>
        </is>
      </c>
      <c r="B103" s="26" t="inlineStr">
        <is>
          <t>inclusionAI (Ant Group)</t>
        </is>
      </c>
      <c r="C103" s="38" t="inlineStr">
        <is>
          <t>Open</t>
        </is>
      </c>
      <c r="D103" s="26" t="inlineStr">
        <is>
          <t>MIT</t>
        </is>
      </c>
      <c r="E103" s="26" t="inlineStr">
        <is>
          <t>Mid</t>
        </is>
      </c>
      <c r="F103" s="26" t="inlineStr">
        <is>
          <t>MoE</t>
        </is>
      </c>
      <c r="G103" s="34" t="n">
        <v>124</v>
      </c>
      <c r="H103" s="34" t="n">
        <v>5.1</v>
      </c>
      <c r="I103" s="26" t="inlineStr">
        <is>
          <t>128K</t>
        </is>
      </c>
      <c r="J103" s="26" t="inlineStr">
        <is>
          <t>2026-08-07</t>
        </is>
      </c>
      <c r="K103" s="26" t="inlineStr">
        <is>
          <t>optional</t>
        </is>
      </c>
      <c r="L103" s="35" t="n">
        <v>0.011</v>
      </c>
      <c r="M103" s="35" t="n">
        <v>0.0036</v>
      </c>
      <c r="N103" s="35" t="n">
        <v>0.033</v>
      </c>
      <c r="O103" s="36" t="inlineStr">
        <is>
          <t>T4</t>
        </is>
      </c>
      <c r="P103" s="26" t="inlineStr">
        <is>
          <t>2026-08-07</t>
        </is>
      </c>
      <c r="Q103" s="26" t="inlineStr">
        <is>
          <t>T4-physics(A=5.1): e_out = 2*N_active/(eta*u*3600)*S with eta=1.4e12 FLOPs/J (H100-class BF16), u=0.3, S=1.7. Open weights, so this row can be moved to T1 by metering your own deployment (§4.8).</t>
        </is>
      </c>
      <c r="R103" s="26" t="inlineStr">
        <is>
          <t>inclusionAI Ling model cards (2026)</t>
        </is>
      </c>
      <c r="S103" s="26" t="inlineStr">
        <is>
          <t>current</t>
        </is>
      </c>
    </row>
    <row r="104">
      <c r="A104" s="26" t="inlineStr">
        <is>
          <t>Step-3.7-Flash</t>
        </is>
      </c>
      <c r="B104" s="26" t="inlineStr">
        <is>
          <t>StepFun</t>
        </is>
      </c>
      <c r="C104" s="38" t="inlineStr">
        <is>
          <t>Open</t>
        </is>
      </c>
      <c r="D104" s="26" t="inlineStr">
        <is>
          <t>Apache-2.0</t>
        </is>
      </c>
      <c r="E104" s="26" t="inlineStr">
        <is>
          <t>Mid</t>
        </is>
      </c>
      <c r="F104" s="26" t="inlineStr">
        <is>
          <t>MoE</t>
        </is>
      </c>
      <c r="G104" s="34" t="n">
        <v>198</v>
      </c>
      <c r="H104" s="34" t="n">
        <v>11</v>
      </c>
      <c r="I104" s="26" t="inlineStr">
        <is>
          <t>128K</t>
        </is>
      </c>
      <c r="J104" s="26" t="inlineStr">
        <is>
          <t>2026-05-29</t>
        </is>
      </c>
      <c r="K104" s="26" t="inlineStr">
        <is>
          <t>mixed</t>
        </is>
      </c>
      <c r="L104" s="35" t="n">
        <v>0.025</v>
      </c>
      <c r="M104" s="35" t="n">
        <v>0.0083</v>
      </c>
      <c r="N104" s="35" t="n">
        <v>0.076</v>
      </c>
      <c r="O104" s="36" t="inlineStr">
        <is>
          <t>T4</t>
        </is>
      </c>
      <c r="P104" s="26" t="inlineStr">
        <is>
          <t>2026-05-29</t>
        </is>
      </c>
      <c r="Q104" s="26" t="inlineStr">
        <is>
          <t>T4-physics(A=11): e_out = 2*N_active/(eta*u*3600)*S with eta=1.4e12 FLOPs/J (H100-class BF16), u=0.3, S=1.7. Open weights, so this row can be moved to T1 by metering your own deployment (§4.8).</t>
        </is>
      </c>
      <c r="R104" s="26" t="inlineStr">
        <is>
          <t>StepFun Step model cards (2026)</t>
        </is>
      </c>
      <c r="S104" s="26" t="inlineStr">
        <is>
          <t>current</t>
        </is>
      </c>
    </row>
    <row r="105">
      <c r="A105" s="26" t="inlineStr">
        <is>
          <t>Seed-OSS-36B-Instruct</t>
        </is>
      </c>
      <c r="B105" s="26" t="inlineStr">
        <is>
          <t>ByteDance</t>
        </is>
      </c>
      <c r="C105" s="38" t="inlineStr">
        <is>
          <t>Open</t>
        </is>
      </c>
      <c r="D105" s="26" t="inlineStr">
        <is>
          <t>Apache-2.0</t>
        </is>
      </c>
      <c r="E105" s="26" t="inlineStr">
        <is>
          <t>Mid</t>
        </is>
      </c>
      <c r="F105" s="26" t="inlineStr">
        <is>
          <t>dense</t>
        </is>
      </c>
      <c r="G105" s="34" t="n">
        <v>36</v>
      </c>
      <c r="H105" s="34" t="n">
        <v>36</v>
      </c>
      <c r="I105" s="26" t="inlineStr">
        <is>
          <t>512K</t>
        </is>
      </c>
      <c r="J105" s="26" t="inlineStr">
        <is>
          <t>2025-08</t>
        </is>
      </c>
      <c r="K105" s="26" t="inlineStr">
        <is>
          <t>optional</t>
        </is>
      </c>
      <c r="L105" s="35" t="n">
        <v>0.081</v>
      </c>
      <c r="M105" s="35" t="n">
        <v>0.027</v>
      </c>
      <c r="N105" s="35" t="n">
        <v>0.25</v>
      </c>
      <c r="O105" s="36" t="inlineStr">
        <is>
          <t>T4</t>
        </is>
      </c>
      <c r="P105" s="26" t="inlineStr">
        <is>
          <t>2025-08</t>
        </is>
      </c>
      <c r="Q105" s="26" t="inlineStr">
        <is>
          <t>T4-physics(A=36): e_out = 2*N_active/(eta*u*3600)*S with eta=1.4e12 FLOPs/J (H100-class BF16), u=0.3, S=1.7. Open weights, so this row can be moved to T1 by metering your own deployment (§4.8).</t>
        </is>
      </c>
      <c r="R105" s="26" t="inlineStr">
        <is>
          <t>ByteDance Seed-OSS model card (2025)</t>
        </is>
      </c>
      <c r="S105" s="26" t="inlineStr">
        <is>
          <t>current</t>
        </is>
      </c>
    </row>
    <row r="106">
      <c r="A106" s="26" t="inlineStr">
        <is>
          <t>ERNIE 4.5 424B-A47B</t>
        </is>
      </c>
      <c r="B106" s="26" t="inlineStr">
        <is>
          <t>Baidu</t>
        </is>
      </c>
      <c r="C106" s="38" t="inlineStr">
        <is>
          <t>Open</t>
        </is>
      </c>
      <c r="D106" s="26" t="inlineStr">
        <is>
          <t>Apache-2.0</t>
        </is>
      </c>
      <c r="E106" s="26" t="inlineStr">
        <is>
          <t>Mid</t>
        </is>
      </c>
      <c r="F106" s="26" t="inlineStr">
        <is>
          <t>MoE</t>
        </is>
      </c>
      <c r="G106" s="34" t="n">
        <v>424</v>
      </c>
      <c r="H106" s="34" t="n">
        <v>47</v>
      </c>
      <c r="I106" s="26" t="inlineStr">
        <is>
          <t>128K</t>
        </is>
      </c>
      <c r="J106" s="26" t="inlineStr">
        <is>
          <t>2025-06-30</t>
        </is>
      </c>
      <c r="K106" s="26" t="inlineStr">
        <is>
          <t>optional</t>
        </is>
      </c>
      <c r="L106" s="35" t="n">
        <v>0.11</v>
      </c>
      <c r="M106" s="35" t="n">
        <v>0.036</v>
      </c>
      <c r="N106" s="35" t="n">
        <v>0.33</v>
      </c>
      <c r="O106" s="36" t="inlineStr">
        <is>
          <t>T4</t>
        </is>
      </c>
      <c r="P106" s="26" t="inlineStr">
        <is>
          <t>2025-06-30</t>
        </is>
      </c>
      <c r="Q106" s="26" t="inlineStr">
        <is>
          <t>T4-physics(A=47): e_out = 2*N_active/(eta*u*3600)*S with eta=1.4e12 FLOPs/J (H100-class BF16), u=0.3, S=1.7. Open weights, so this row can be moved to T1 by metering your own deployment (§4.8).</t>
        </is>
      </c>
      <c r="R106" s="26" t="inlineStr">
        <is>
          <t>Baidu ERNIE 4.5 model cards (2025)</t>
        </is>
      </c>
      <c r="S106" s="26" t="inlineStr">
        <is>
          <t>current</t>
        </is>
      </c>
    </row>
    <row r="107">
      <c r="A107" s="26" t="inlineStr">
        <is>
          <t>Nemotron 3 Ultra</t>
        </is>
      </c>
      <c r="B107" s="26" t="inlineStr">
        <is>
          <t>NVIDIA</t>
        </is>
      </c>
      <c r="C107" s="38" t="inlineStr">
        <is>
          <t>Open</t>
        </is>
      </c>
      <c r="D107" s="26" t="inlineStr">
        <is>
          <t>OpenMDW-1.1</t>
        </is>
      </c>
      <c r="E107" s="26" t="inlineStr">
        <is>
          <t>Frontier</t>
        </is>
      </c>
      <c r="F107" s="26" t="inlineStr">
        <is>
          <t>MoE</t>
        </is>
      </c>
      <c r="G107" s="34" t="n">
        <v>550</v>
      </c>
      <c r="H107" s="34" t="n">
        <v>55</v>
      </c>
      <c r="I107" s="26" t="inlineStr">
        <is>
          <t>128K</t>
        </is>
      </c>
      <c r="J107" s="26" t="inlineStr">
        <is>
          <t>2026-06-04</t>
        </is>
      </c>
      <c r="K107" s="26" t="inlineStr">
        <is>
          <t>optional</t>
        </is>
      </c>
      <c r="L107" s="35" t="n">
        <v>0.12</v>
      </c>
      <c r="M107" s="35" t="n">
        <v>0.04</v>
      </c>
      <c r="N107" s="35" t="n">
        <v>0.36</v>
      </c>
      <c r="O107" s="36" t="inlineStr">
        <is>
          <t>T4</t>
        </is>
      </c>
      <c r="P107" s="26" t="inlineStr">
        <is>
          <t>2026-06-04</t>
        </is>
      </c>
      <c r="Q107" s="26" t="inlineStr">
        <is>
          <t>T4-physics(A=55): e_out = 2*N_active/(eta*u*3600)*S with eta=1.4e12 FLOPs/J (H100-class BF16), u=0.3, S=1.7. Open weights, so this row can be moved to T1 by metering your own deployment (§4.8).</t>
        </is>
      </c>
      <c r="R107" s="26" t="inlineStr">
        <is>
          <t>NVIDIA Nemotron 3 model cards (2026)</t>
        </is>
      </c>
      <c r="S107" s="26" t="inlineStr">
        <is>
          <t>current</t>
        </is>
      </c>
    </row>
    <row r="108">
      <c r="A108" s="26" t="inlineStr">
        <is>
          <t>Nemotron 3 Super</t>
        </is>
      </c>
      <c r="B108" s="26" t="inlineStr">
        <is>
          <t>NVIDIA</t>
        </is>
      </c>
      <c r="C108" s="38" t="inlineStr">
        <is>
          <t>Open</t>
        </is>
      </c>
      <c r="D108" s="26" t="inlineStr">
        <is>
          <t>OpenMDW-1.1</t>
        </is>
      </c>
      <c r="E108" s="26" t="inlineStr">
        <is>
          <t>Mid</t>
        </is>
      </c>
      <c r="F108" s="26" t="inlineStr">
        <is>
          <t>MoE</t>
        </is>
      </c>
      <c r="G108" s="34" t="n">
        <v>120</v>
      </c>
      <c r="H108" s="34" t="n">
        <v>12</v>
      </c>
      <c r="I108" s="26" t="inlineStr">
        <is>
          <t>128K</t>
        </is>
      </c>
      <c r="J108" s="26" t="inlineStr">
        <is>
          <t>2026-03-11</t>
        </is>
      </c>
      <c r="K108" s="26" t="inlineStr">
        <is>
          <t>optional</t>
        </is>
      </c>
      <c r="L108" s="35" t="n">
        <v>0.027</v>
      </c>
      <c r="M108" s="35" t="n">
        <v>0.0089</v>
      </c>
      <c r="N108" s="35" t="n">
        <v>0.081</v>
      </c>
      <c r="O108" s="36" t="inlineStr">
        <is>
          <t>T4</t>
        </is>
      </c>
      <c r="P108" s="26" t="inlineStr">
        <is>
          <t>2026-03-11</t>
        </is>
      </c>
      <c r="Q108" s="26" t="inlineStr">
        <is>
          <t>T4-physics(A=12): e_out = 2*N_active/(eta*u*3600)*S with eta=1.4e12 FLOPs/J (H100-class BF16), u=0.3, S=1.7. Open weights, so this row can be moved to T1 by metering your own deployment (§4.8).</t>
        </is>
      </c>
      <c r="R108" s="26" t="inlineStr">
        <is>
          <t>NVIDIA Nemotron 3 model cards (2026)</t>
        </is>
      </c>
      <c r="S108" s="26" t="inlineStr">
        <is>
          <t>current</t>
        </is>
      </c>
    </row>
    <row r="109">
      <c r="A109" s="26" t="inlineStr">
        <is>
          <t>Nemotron 3 Nano</t>
        </is>
      </c>
      <c r="B109" s="26" t="inlineStr">
        <is>
          <t>NVIDIA</t>
        </is>
      </c>
      <c r="C109" s="38" t="inlineStr">
        <is>
          <t>Open</t>
        </is>
      </c>
      <c r="D109" s="26" t="inlineStr">
        <is>
          <t>OpenMDW-1.1</t>
        </is>
      </c>
      <c r="E109" s="26" t="inlineStr">
        <is>
          <t>Small</t>
        </is>
      </c>
      <c r="F109" s="26" t="inlineStr">
        <is>
          <t>MoE</t>
        </is>
      </c>
      <c r="G109" s="34" t="n">
        <v>31.6</v>
      </c>
      <c r="H109" s="34" t="n">
        <v>3</v>
      </c>
      <c r="I109" s="26" t="inlineStr">
        <is>
          <t>128K</t>
        </is>
      </c>
      <c r="J109" s="26" t="inlineStr">
        <is>
          <t>2025-12-15</t>
        </is>
      </c>
      <c r="K109" s="26" t="inlineStr">
        <is>
          <t>optional</t>
        </is>
      </c>
      <c r="L109" s="35" t="n">
        <v>0.0067</v>
      </c>
      <c r="M109" s="35" t="n">
        <v>0.0022</v>
      </c>
      <c r="N109" s="35" t="n">
        <v>0.021</v>
      </c>
      <c r="O109" s="36" t="inlineStr">
        <is>
          <t>T4</t>
        </is>
      </c>
      <c r="P109" s="26" t="inlineStr">
        <is>
          <t>2025-12-15</t>
        </is>
      </c>
      <c r="Q109" s="26" t="inlineStr">
        <is>
          <t>T4-physics(A=3): e_out = 2*N_active/(eta*u*3600)*S with eta=1.4e12 FLOPs/J (H100-class BF16), u=0.3, S=1.7. Open weights, so this row can be moved to T1 by metering your own deployment (§4.8).</t>
        </is>
      </c>
      <c r="R109" s="26" t="inlineStr">
        <is>
          <t>NVIDIA Nemotron 3 model cards (2025)</t>
        </is>
      </c>
      <c r="S109" s="26" t="inlineStr">
        <is>
          <t>current</t>
        </is>
      </c>
    </row>
    <row r="110">
      <c r="A110" s="26" t="inlineStr">
        <is>
          <t>Phi-4-reasoning-vision-15B</t>
        </is>
      </c>
      <c r="B110" s="26" t="inlineStr">
        <is>
          <t>Microsoft</t>
        </is>
      </c>
      <c r="C110" s="38" t="inlineStr">
        <is>
          <t>Open</t>
        </is>
      </c>
      <c r="D110" s="26" t="inlineStr">
        <is>
          <t>MIT</t>
        </is>
      </c>
      <c r="E110" s="26" t="inlineStr">
        <is>
          <t>Small</t>
        </is>
      </c>
      <c r="F110" s="26" t="inlineStr">
        <is>
          <t>dense</t>
        </is>
      </c>
      <c r="G110" s="34" t="n">
        <v>15</v>
      </c>
      <c r="H110" s="34" t="n">
        <v>15</v>
      </c>
      <c r="I110" s="26" t="inlineStr">
        <is>
          <t>64K</t>
        </is>
      </c>
      <c r="J110" s="26" t="inlineStr">
        <is>
          <t>2026-03-04</t>
        </is>
      </c>
      <c r="K110" s="26" t="inlineStr">
        <is>
          <t>always</t>
        </is>
      </c>
      <c r="L110" s="35" t="n">
        <v>0.034</v>
      </c>
      <c r="M110" s="35" t="n">
        <v>0.011</v>
      </c>
      <c r="N110" s="35" t="n">
        <v>0.11</v>
      </c>
      <c r="O110" s="36" t="inlineStr">
        <is>
          <t>T4</t>
        </is>
      </c>
      <c r="P110" s="26" t="inlineStr">
        <is>
          <t>2026-03-04</t>
        </is>
      </c>
      <c r="Q110" s="26" t="inlineStr">
        <is>
          <t>T4-physics(A=15): e_out = 2*N_active/(eta*u*3600)*S with eta=1.4e12 FLOPs/J (H100-class BF16), u=0.3, S=1.7. Open weights, so this row can be moved to T1 by metering your own deployment (§4.8).</t>
        </is>
      </c>
      <c r="R110" s="26" t="inlineStr">
        <is>
          <t>Microsoft Phi model cards (2026)</t>
        </is>
      </c>
      <c r="S110" s="26" t="inlineStr">
        <is>
          <t>current</t>
        </is>
      </c>
    </row>
    <row r="111">
      <c r="A111" s="26" t="inlineStr">
        <is>
          <t>Phi-4-reasoning</t>
        </is>
      </c>
      <c r="B111" s="26" t="inlineStr">
        <is>
          <t>Microsoft</t>
        </is>
      </c>
      <c r="C111" s="38" t="inlineStr">
        <is>
          <t>Open</t>
        </is>
      </c>
      <c r="D111" s="26" t="inlineStr">
        <is>
          <t>MIT</t>
        </is>
      </c>
      <c r="E111" s="26" t="inlineStr">
        <is>
          <t>Small</t>
        </is>
      </c>
      <c r="F111" s="26" t="inlineStr">
        <is>
          <t>dense</t>
        </is>
      </c>
      <c r="G111" s="34" t="n">
        <v>14</v>
      </c>
      <c r="H111" s="34" t="n">
        <v>14</v>
      </c>
      <c r="I111" s="26" t="inlineStr">
        <is>
          <t>32K</t>
        </is>
      </c>
      <c r="J111" s="26" t="inlineStr">
        <is>
          <t>2025-04</t>
        </is>
      </c>
      <c r="K111" s="26" t="inlineStr">
        <is>
          <t>always</t>
        </is>
      </c>
      <c r="L111" s="35" t="n">
        <v>0.031</v>
      </c>
      <c r="M111" s="35" t="n">
        <v>0.01</v>
      </c>
      <c r="N111" s="35" t="n">
        <v>0.093</v>
      </c>
      <c r="O111" s="36" t="inlineStr">
        <is>
          <t>T4</t>
        </is>
      </c>
      <c r="P111" s="26" t="inlineStr">
        <is>
          <t>2025-04</t>
        </is>
      </c>
      <c r="Q111" s="26" t="inlineStr">
        <is>
          <t>T4-physics(A=14): e_out = 2*N_active/(eta*u*3600)*S with eta=1.4e12 FLOPs/J (H100-class BF16), u=0.3, S=1.7. Open weights, so this row can be moved to T1 by metering your own deployment (§4.8).</t>
        </is>
      </c>
      <c r="R111" s="26" t="inlineStr">
        <is>
          <t>Microsoft Phi-4-reasoning model card (2025)</t>
        </is>
      </c>
      <c r="S111" s="26" t="inlineStr">
        <is>
          <t>current</t>
        </is>
      </c>
    </row>
    <row r="112">
      <c r="A112" s="26" t="inlineStr">
        <is>
          <t>Phi-4</t>
        </is>
      </c>
      <c r="B112" s="26" t="inlineStr">
        <is>
          <t>Microsoft</t>
        </is>
      </c>
      <c r="C112" s="38" t="inlineStr">
        <is>
          <t>Open</t>
        </is>
      </c>
      <c r="D112" s="26" t="inlineStr">
        <is>
          <t>MIT</t>
        </is>
      </c>
      <c r="E112" s="26" t="inlineStr">
        <is>
          <t>Small</t>
        </is>
      </c>
      <c r="F112" s="26" t="inlineStr">
        <is>
          <t>dense</t>
        </is>
      </c>
      <c r="G112" s="34" t="n">
        <v>14</v>
      </c>
      <c r="H112" s="34" t="n">
        <v>14</v>
      </c>
      <c r="I112" s="26" t="inlineStr">
        <is>
          <t>16K</t>
        </is>
      </c>
      <c r="J112" s="26" t="inlineStr">
        <is>
          <t>2024-12</t>
        </is>
      </c>
      <c r="K112" s="26" t="inlineStr">
        <is>
          <t>no</t>
        </is>
      </c>
      <c r="L112" s="35" t="n">
        <v>0.031</v>
      </c>
      <c r="M112" s="35" t="n">
        <v>0.01</v>
      </c>
      <c r="N112" s="35" t="n">
        <v>0.093</v>
      </c>
      <c r="O112" s="36" t="inlineStr">
        <is>
          <t>T4</t>
        </is>
      </c>
      <c r="P112" s="26" t="inlineStr">
        <is>
          <t>2024-12</t>
        </is>
      </c>
      <c r="Q112" s="26" t="inlineStr">
        <is>
          <t>T4-physics(A=14): e_out = 2*N_active/(eta*u*3600)*S with eta=1.4e12 FLOPs/J (H100-class BF16), u=0.3, S=1.7. Open weights, so this row can be moved to T1 by metering your own deployment (§4.8).</t>
        </is>
      </c>
      <c r="R112" s="26" t="inlineStr">
        <is>
          <t>Microsoft Phi-4 model card (2024)</t>
        </is>
      </c>
      <c r="S112" s="26" t="inlineStr">
        <is>
          <t>current</t>
        </is>
      </c>
    </row>
    <row r="113">
      <c r="A113" s="26" t="inlineStr">
        <is>
          <t>Phi-4-mini</t>
        </is>
      </c>
      <c r="B113" s="26" t="inlineStr">
        <is>
          <t>Microsoft</t>
        </is>
      </c>
      <c r="C113" s="38" t="inlineStr">
        <is>
          <t>Open</t>
        </is>
      </c>
      <c r="D113" s="26" t="inlineStr">
        <is>
          <t>MIT</t>
        </is>
      </c>
      <c r="E113" s="26" t="inlineStr">
        <is>
          <t>Tiny</t>
        </is>
      </c>
      <c r="F113" s="26" t="inlineStr">
        <is>
          <t>dense</t>
        </is>
      </c>
      <c r="G113" s="34" t="n">
        <v>3.8</v>
      </c>
      <c r="H113" s="34" t="n">
        <v>3.8</v>
      </c>
      <c r="I113" s="26" t="inlineStr">
        <is>
          <t>128K</t>
        </is>
      </c>
      <c r="J113" s="26" t="inlineStr">
        <is>
          <t>2025-02</t>
        </is>
      </c>
      <c r="K113" s="26" t="inlineStr">
        <is>
          <t>no</t>
        </is>
      </c>
      <c r="L113" s="35" t="n">
        <v>0.008500000000000001</v>
      </c>
      <c r="M113" s="35" t="n">
        <v>0.0028</v>
      </c>
      <c r="N113" s="35" t="n">
        <v>0.026</v>
      </c>
      <c r="O113" s="36" t="inlineStr">
        <is>
          <t>T4</t>
        </is>
      </c>
      <c r="P113" s="26" t="inlineStr">
        <is>
          <t>2025-02</t>
        </is>
      </c>
      <c r="Q113" s="26" t="inlineStr">
        <is>
          <t>T4-physics(A=3.8): e_out = 2*N_active/(eta*u*3600)*S with eta=1.4e12 FLOPs/J (H100-class BF16), u=0.3, S=1.7. Open weights, so this row can be moved to T1 by metering your own deployment (§4.8).</t>
        </is>
      </c>
      <c r="R113" s="26" t="inlineStr">
        <is>
          <t>Microsoft Phi-4-mini model card (2025)</t>
        </is>
      </c>
      <c r="S113" s="26" t="inlineStr">
        <is>
          <t>current</t>
        </is>
      </c>
    </row>
    <row r="114">
      <c r="A114" s="26" t="inlineStr">
        <is>
          <t>Olmo 3 32B</t>
        </is>
      </c>
      <c r="B114" s="26" t="inlineStr">
        <is>
          <t>Allen Institute for AI</t>
        </is>
      </c>
      <c r="C114" s="38" t="inlineStr">
        <is>
          <t>Open</t>
        </is>
      </c>
      <c r="D114" s="26" t="inlineStr">
        <is>
          <t>Apache-2.0</t>
        </is>
      </c>
      <c r="E114" s="26" t="inlineStr">
        <is>
          <t>Mid</t>
        </is>
      </c>
      <c r="F114" s="26" t="inlineStr">
        <is>
          <t>dense</t>
        </is>
      </c>
      <c r="G114" s="34" t="n">
        <v>32</v>
      </c>
      <c r="H114" s="34" t="n">
        <v>32</v>
      </c>
      <c r="I114" s="26" t="inlineStr">
        <is>
          <t>65K</t>
        </is>
      </c>
      <c r="J114" s="26" t="inlineStr">
        <is>
          <t>2025-11-20</t>
        </is>
      </c>
      <c r="K114" s="26" t="inlineStr">
        <is>
          <t>optional</t>
        </is>
      </c>
      <c r="L114" s="35" t="n">
        <v>0.07199999999999999</v>
      </c>
      <c r="M114" s="35" t="n">
        <v>0.023</v>
      </c>
      <c r="N114" s="35" t="n">
        <v>0.22</v>
      </c>
      <c r="O114" s="36" t="inlineStr">
        <is>
          <t>T4</t>
        </is>
      </c>
      <c r="P114" s="26" t="inlineStr">
        <is>
          <t>2025-11-20</t>
        </is>
      </c>
      <c r="Q114" s="26" t="inlineStr">
        <is>
          <t>T4-physics(A=32): e_out = 2*N_active/(eta*u*3600)*S with eta=1.4e12 FLOPs/J (H100-class BF16), u=0.3, S=1.7. Open weights, so this row can be moved to T1 by metering your own deployment (§4.8). Fully open model: weights, data and training code are published, which makes it the easiest row in the database to reproduce and meter independently.</t>
        </is>
      </c>
      <c r="R114" s="26" t="inlineStr">
        <is>
          <t>Ai2 Olmo 3 model card and technical report (2025)</t>
        </is>
      </c>
      <c r="S114" s="26" t="inlineStr">
        <is>
          <t>current</t>
        </is>
      </c>
    </row>
    <row r="115">
      <c r="A115" s="26" t="inlineStr">
        <is>
          <t>Olmo 3 7B</t>
        </is>
      </c>
      <c r="B115" s="26" t="inlineStr">
        <is>
          <t>Allen Institute for AI</t>
        </is>
      </c>
      <c r="C115" s="38" t="inlineStr">
        <is>
          <t>Open</t>
        </is>
      </c>
      <c r="D115" s="26" t="inlineStr">
        <is>
          <t>Apache-2.0</t>
        </is>
      </c>
      <c r="E115" s="26" t="inlineStr">
        <is>
          <t>Small</t>
        </is>
      </c>
      <c r="F115" s="26" t="inlineStr">
        <is>
          <t>dense</t>
        </is>
      </c>
      <c r="G115" s="34" t="n">
        <v>7</v>
      </c>
      <c r="H115" s="34" t="n">
        <v>7</v>
      </c>
      <c r="I115" s="26" t="inlineStr">
        <is>
          <t>65K</t>
        </is>
      </c>
      <c r="J115" s="26" t="inlineStr">
        <is>
          <t>2025-11-20</t>
        </is>
      </c>
      <c r="K115" s="26" t="inlineStr">
        <is>
          <t>optional</t>
        </is>
      </c>
      <c r="L115" s="35" t="n">
        <v>0.016</v>
      </c>
      <c r="M115" s="35" t="n">
        <v>0.0053</v>
      </c>
      <c r="N115" s="35" t="n">
        <v>0.048</v>
      </c>
      <c r="O115" s="36" t="inlineStr">
        <is>
          <t>T4</t>
        </is>
      </c>
      <c r="P115" s="26" t="inlineStr">
        <is>
          <t>2025-11-20</t>
        </is>
      </c>
      <c r="Q115" s="26" t="inlineStr">
        <is>
          <t>T4-physics(A=7): e_out = 2*N_active/(eta*u*3600)*S with eta=1.4e12 FLOPs/J (H100-class BF16), u=0.3, S=1.7. Open weights, so this row can be moved to T1 by metering your own deployment (§4.8).</t>
        </is>
      </c>
      <c r="R115" s="26" t="inlineStr">
        <is>
          <t>Ai2 Olmo 3 model card and technical report (2025)</t>
        </is>
      </c>
      <c r="S115" s="26" t="inlineStr">
        <is>
          <t>current</t>
        </is>
      </c>
    </row>
    <row r="116">
      <c r="A116" s="26" t="inlineStr">
        <is>
          <t>Olmo Hybrid 7B</t>
        </is>
      </c>
      <c r="B116" s="26" t="inlineStr">
        <is>
          <t>Allen Institute for AI</t>
        </is>
      </c>
      <c r="C116" s="38" t="inlineStr">
        <is>
          <t>Open</t>
        </is>
      </c>
      <c r="D116" s="26" t="inlineStr">
        <is>
          <t>Apache-2.0</t>
        </is>
      </c>
      <c r="E116" s="26" t="inlineStr">
        <is>
          <t>Small</t>
        </is>
      </c>
      <c r="F116" s="26" t="inlineStr">
        <is>
          <t>hybrid</t>
        </is>
      </c>
      <c r="G116" s="34" t="n">
        <v>7</v>
      </c>
      <c r="H116" s="34" t="n">
        <v>7</v>
      </c>
      <c r="I116" s="26" t="inlineStr">
        <is>
          <t>65K</t>
        </is>
      </c>
      <c r="J116" s="26" t="inlineStr">
        <is>
          <t>2026-03</t>
        </is>
      </c>
      <c r="K116" s="26" t="inlineStr">
        <is>
          <t>optional</t>
        </is>
      </c>
      <c r="L116" s="35" t="n">
        <v>0.016</v>
      </c>
      <c r="M116" s="35" t="n">
        <v>0.0053</v>
      </c>
      <c r="N116" s="35" t="n">
        <v>0.048</v>
      </c>
      <c r="O116" s="36" t="inlineStr">
        <is>
          <t>T4</t>
        </is>
      </c>
      <c r="P116" s="26" t="inlineStr">
        <is>
          <t>2026-03</t>
        </is>
      </c>
      <c r="Q116" s="26" t="inlineStr">
        <is>
          <t>T4-physics(A=7): e_out = 2*N_active/(eta*u*3600)*S with eta=1.4e12 FLOPs/J (H100-class BF16), u=0.3, S=1.7. Open weights, so this row can be moved to T1 by metering your own deployment (§4.8).</t>
        </is>
      </c>
      <c r="R116" s="26" t="inlineStr">
        <is>
          <t>Ai2 Olmo model cards (2026)</t>
        </is>
      </c>
      <c r="S116" s="26" t="inlineStr">
        <is>
          <t>current</t>
        </is>
      </c>
    </row>
    <row r="117">
      <c r="A117" s="26" t="inlineStr">
        <is>
          <t>Falcon-H1R-7B</t>
        </is>
      </c>
      <c r="B117" s="26" t="inlineStr">
        <is>
          <t>TII</t>
        </is>
      </c>
      <c r="C117" s="38" t="inlineStr">
        <is>
          <t>Open</t>
        </is>
      </c>
      <c r="D117" s="26" t="inlineStr">
        <is>
          <t>TII Falcon Licence</t>
        </is>
      </c>
      <c r="E117" s="26" t="inlineStr">
        <is>
          <t>Small</t>
        </is>
      </c>
      <c r="F117" s="26" t="inlineStr">
        <is>
          <t>hybrid</t>
        </is>
      </c>
      <c r="G117" s="34" t="n">
        <v>7</v>
      </c>
      <c r="H117" s="34" t="n">
        <v>7</v>
      </c>
      <c r="I117" s="26" t="inlineStr">
        <is>
          <t>256K</t>
        </is>
      </c>
      <c r="J117" s="26" t="inlineStr">
        <is>
          <t>2026-01-05</t>
        </is>
      </c>
      <c r="K117" s="26" t="inlineStr">
        <is>
          <t>always</t>
        </is>
      </c>
      <c r="L117" s="35" t="n">
        <v>0.016</v>
      </c>
      <c r="M117" s="35" t="n">
        <v>0.0053</v>
      </c>
      <c r="N117" s="35" t="n">
        <v>0.048</v>
      </c>
      <c r="O117" s="36" t="inlineStr">
        <is>
          <t>T4</t>
        </is>
      </c>
      <c r="P117" s="26" t="inlineStr">
        <is>
          <t>2026-01-05</t>
        </is>
      </c>
      <c r="Q117" s="26" t="inlineStr">
        <is>
          <t>T4-physics(A=7): e_out = 2*N_active/(eta*u*3600)*S with eta=1.4e12 FLOPs/J (H100-class BF16), u=0.3, S=1.7. Open weights, so this row can be moved to T1 by metering your own deployment (§4.8).</t>
        </is>
      </c>
      <c r="R117" s="26" t="inlineStr">
        <is>
          <t>TII Falcon-H1 model cards (2026)</t>
        </is>
      </c>
      <c r="S117" s="26" t="inlineStr">
        <is>
          <t>current</t>
        </is>
      </c>
    </row>
    <row r="118">
      <c r="A118" s="26" t="inlineStr">
        <is>
          <t>Granite 4.2 30B</t>
        </is>
      </c>
      <c r="B118" s="26" t="inlineStr">
        <is>
          <t>IBM</t>
        </is>
      </c>
      <c r="C118" s="38" t="inlineStr">
        <is>
          <t>Open</t>
        </is>
      </c>
      <c r="D118" s="26" t="inlineStr">
        <is>
          <t>Apache-2.0</t>
        </is>
      </c>
      <c r="E118" s="26" t="inlineStr">
        <is>
          <t>Mid</t>
        </is>
      </c>
      <c r="F118" s="26" t="inlineStr">
        <is>
          <t>MoE</t>
        </is>
      </c>
      <c r="G118" s="34" t="n">
        <v>30</v>
      </c>
      <c r="H118" s="34" t="n">
        <v>9</v>
      </c>
      <c r="I118" s="26" t="inlineStr">
        <is>
          <t>128K</t>
        </is>
      </c>
      <c r="J118" s="26" t="inlineStr">
        <is>
          <t>2026-08-25</t>
        </is>
      </c>
      <c r="K118" s="26" t="inlineStr">
        <is>
          <t>optional</t>
        </is>
      </c>
      <c r="L118" s="35" t="n">
        <v>0.02</v>
      </c>
      <c r="M118" s="35" t="n">
        <v>0.0066</v>
      </c>
      <c r="N118" s="35" t="n">
        <v>0.06</v>
      </c>
      <c r="O118" s="36" t="inlineStr">
        <is>
          <t>T4</t>
        </is>
      </c>
      <c r="P118" s="26" t="inlineStr">
        <is>
          <t>2026-08-25</t>
        </is>
      </c>
      <c r="Q118" s="26" t="inlineStr">
        <is>
          <t>T4-physics(A=9): e_out = 2*N_active/(eta*u*3600)*S with eta=1.4e12 FLOPs/J (H100-class BF16), u=0.3, S=1.7. Open weights, so this row can be moved to T1 by metering your own deployment (§4.8).</t>
        </is>
      </c>
      <c r="R118" s="26" t="inlineStr">
        <is>
          <t>IBM Granite model cards (2026)</t>
        </is>
      </c>
      <c r="S118" s="26" t="inlineStr">
        <is>
          <t>current</t>
        </is>
      </c>
    </row>
    <row r="119">
      <c r="A119" s="26" t="inlineStr">
        <is>
          <t>Granite 4.2 8B</t>
        </is>
      </c>
      <c r="B119" s="26" t="inlineStr">
        <is>
          <t>IBM</t>
        </is>
      </c>
      <c r="C119" s="38" t="inlineStr">
        <is>
          <t>Open</t>
        </is>
      </c>
      <c r="D119" s="26" t="inlineStr">
        <is>
          <t>Apache-2.0</t>
        </is>
      </c>
      <c r="E119" s="26" t="inlineStr">
        <is>
          <t>Small</t>
        </is>
      </c>
      <c r="F119" s="26" t="inlineStr">
        <is>
          <t>hybrid</t>
        </is>
      </c>
      <c r="G119" s="34" t="n">
        <v>8</v>
      </c>
      <c r="H119" s="34" t="n">
        <v>8</v>
      </c>
      <c r="I119" s="26" t="inlineStr">
        <is>
          <t>128K</t>
        </is>
      </c>
      <c r="J119" s="26" t="inlineStr">
        <is>
          <t>2026-08-25</t>
        </is>
      </c>
      <c r="K119" s="26" t="inlineStr">
        <is>
          <t>optional</t>
        </is>
      </c>
      <c r="L119" s="35" t="n">
        <v>0.018</v>
      </c>
      <c r="M119" s="35" t="n">
        <v>0.0059</v>
      </c>
      <c r="N119" s="35" t="n">
        <v>0.054</v>
      </c>
      <c r="O119" s="36" t="inlineStr">
        <is>
          <t>T4</t>
        </is>
      </c>
      <c r="P119" s="26" t="inlineStr">
        <is>
          <t>2026-08-25</t>
        </is>
      </c>
      <c r="Q119" s="26" t="inlineStr">
        <is>
          <t>T4-physics(A=8): e_out = 2*N_active/(eta*u*3600)*S with eta=1.4e12 FLOPs/J (H100-class BF16), u=0.3, S=1.7. Open weights, so this row can be moved to T1 by metering your own deployment (§4.8).</t>
        </is>
      </c>
      <c r="R119" s="26" t="inlineStr">
        <is>
          <t>IBM Granite model cards (2026)</t>
        </is>
      </c>
      <c r="S119" s="26" t="inlineStr">
        <is>
          <t>current</t>
        </is>
      </c>
    </row>
    <row r="120">
      <c r="A120" s="26" t="inlineStr">
        <is>
          <t>Granite 4.2 3B</t>
        </is>
      </c>
      <c r="B120" s="26" t="inlineStr">
        <is>
          <t>IBM</t>
        </is>
      </c>
      <c r="C120" s="38" t="inlineStr">
        <is>
          <t>Open</t>
        </is>
      </c>
      <c r="D120" s="26" t="inlineStr">
        <is>
          <t>Apache-2.0</t>
        </is>
      </c>
      <c r="E120" s="26" t="inlineStr">
        <is>
          <t>Tiny</t>
        </is>
      </c>
      <c r="F120" s="26" t="inlineStr">
        <is>
          <t>hybrid</t>
        </is>
      </c>
      <c r="G120" s="34" t="n">
        <v>3</v>
      </c>
      <c r="H120" s="34" t="n">
        <v>3</v>
      </c>
      <c r="I120" s="26" t="inlineStr">
        <is>
          <t>128K</t>
        </is>
      </c>
      <c r="J120" s="26" t="inlineStr">
        <is>
          <t>2026-08-25</t>
        </is>
      </c>
      <c r="K120" s="26" t="inlineStr">
        <is>
          <t>optional</t>
        </is>
      </c>
      <c r="L120" s="35" t="n">
        <v>0.0067</v>
      </c>
      <c r="M120" s="35" t="n">
        <v>0.0022</v>
      </c>
      <c r="N120" s="35" t="n">
        <v>0.021</v>
      </c>
      <c r="O120" s="36" t="inlineStr">
        <is>
          <t>T4</t>
        </is>
      </c>
      <c r="P120" s="26" t="inlineStr">
        <is>
          <t>2026-08-25</t>
        </is>
      </c>
      <c r="Q120" s="26" t="inlineStr">
        <is>
          <t>T4-physics(A=3): e_out = 2*N_active/(eta*u*3600)*S with eta=1.4e12 FLOPs/J (H100-class BF16), u=0.3, S=1.7. Open weights, so this row can be moved to T1 by metering your own deployment (§4.8).</t>
        </is>
      </c>
      <c r="R120" s="26" t="inlineStr">
        <is>
          <t>IBM Granite model cards (2026)</t>
        </is>
      </c>
      <c r="S120" s="26" t="inlineStr">
        <is>
          <t>current</t>
        </is>
      </c>
    </row>
    <row r="121">
      <c r="A121" s="26" t="inlineStr">
        <is>
          <t>Command A+</t>
        </is>
      </c>
      <c r="B121" s="26" t="inlineStr">
        <is>
          <t>Cohere</t>
        </is>
      </c>
      <c r="C121" s="38" t="inlineStr">
        <is>
          <t>Open</t>
        </is>
      </c>
      <c r="D121" s="26" t="inlineStr">
        <is>
          <t>Apache-2.0</t>
        </is>
      </c>
      <c r="E121" s="26" t="inlineStr">
        <is>
          <t>Frontier</t>
        </is>
      </c>
      <c r="F121" s="26" t="inlineStr">
        <is>
          <t>MoE</t>
        </is>
      </c>
      <c r="G121" s="34" t="n">
        <v>218</v>
      </c>
      <c r="H121" s="34" t="n">
        <v>25</v>
      </c>
      <c r="I121" s="26" t="inlineStr">
        <is>
          <t>256K</t>
        </is>
      </c>
      <c r="J121" s="26" t="inlineStr">
        <is>
          <t>2026-05-20</t>
        </is>
      </c>
      <c r="K121" s="26" t="inlineStr">
        <is>
          <t>optional</t>
        </is>
      </c>
      <c r="L121" s="35" t="n">
        <v>0.056</v>
      </c>
      <c r="M121" s="35" t="n">
        <v>0.018</v>
      </c>
      <c r="N121" s="35" t="n">
        <v>0.17</v>
      </c>
      <c r="O121" s="36" t="inlineStr">
        <is>
          <t>T4</t>
        </is>
      </c>
      <c r="P121" s="26" t="inlineStr">
        <is>
          <t>2026-05-20</t>
        </is>
      </c>
      <c r="Q121" s="26" t="inlineStr">
        <is>
          <t>T4-physics(A=25): e_out = 2*N_active/(eta*u*3600)*S with eta=1.4e12 FLOPs/J (H100-class BF16), u=0.3, S=1.7. Open weights, so this row can be moved to T1 by metering your own deployment (§4.8).</t>
        </is>
      </c>
      <c r="R121" s="26" t="inlineStr">
        <is>
          <t>Cohere Command A+ model card (2026)</t>
        </is>
      </c>
      <c r="S121" s="26" t="inlineStr">
        <is>
          <t>current</t>
        </is>
      </c>
    </row>
    <row r="122">
      <c r="A122" s="26" t="inlineStr">
        <is>
          <t>SmolLM3-3B</t>
        </is>
      </c>
      <c r="B122" s="26" t="inlineStr">
        <is>
          <t>Hugging Face</t>
        </is>
      </c>
      <c r="C122" s="38" t="inlineStr">
        <is>
          <t>Open</t>
        </is>
      </c>
      <c r="D122" s="26" t="inlineStr">
        <is>
          <t>Apache-2.0</t>
        </is>
      </c>
      <c r="E122" s="26" t="inlineStr">
        <is>
          <t>Small</t>
        </is>
      </c>
      <c r="F122" s="26" t="inlineStr">
        <is>
          <t>dense</t>
        </is>
      </c>
      <c r="G122" s="34" t="n">
        <v>3</v>
      </c>
      <c r="H122" s="34" t="n">
        <v>3</v>
      </c>
      <c r="I122" s="26" t="inlineStr">
        <is>
          <t>128K</t>
        </is>
      </c>
      <c r="J122" s="26" t="inlineStr">
        <is>
          <t>2025-07-08</t>
        </is>
      </c>
      <c r="K122" s="26" t="inlineStr">
        <is>
          <t>optional</t>
        </is>
      </c>
      <c r="L122" s="35" t="n">
        <v>0.0067</v>
      </c>
      <c r="M122" s="35" t="n">
        <v>0.0022</v>
      </c>
      <c r="N122" s="35" t="n">
        <v>0.021</v>
      </c>
      <c r="O122" s="36" t="inlineStr">
        <is>
          <t>T4</t>
        </is>
      </c>
      <c r="P122" s="26" t="inlineStr">
        <is>
          <t>2025-07-08</t>
        </is>
      </c>
      <c r="Q122" s="26" t="inlineStr">
        <is>
          <t>T4-physics(A=3): e_out = 2*N_active/(eta*u*3600)*S with eta=1.4e12 FLOPs/J (H100-class BF16), u=0.3, S=1.7. Open weights, so this row can be moved to T1 by metering your own deployment (§4.8).</t>
        </is>
      </c>
      <c r="R122" s="26" t="inlineStr">
        <is>
          <t>Hugging Face SmolLM3 model card (2025)</t>
        </is>
      </c>
      <c r="S122" s="26" t="inlineStr">
        <is>
          <t>current</t>
        </is>
      </c>
    </row>
    <row r="123">
      <c r="A123" s="26" t="inlineStr">
        <is>
          <t>LFM2.5-2.6B</t>
        </is>
      </c>
      <c r="B123" s="26" t="inlineStr">
        <is>
          <t>Liquid AI</t>
        </is>
      </c>
      <c r="C123" s="38" t="inlineStr">
        <is>
          <t>Open</t>
        </is>
      </c>
      <c r="D123" s="26" t="inlineStr">
        <is>
          <t>LFM Open Licence v1</t>
        </is>
      </c>
      <c r="E123" s="26" t="inlineStr">
        <is>
          <t>Small</t>
        </is>
      </c>
      <c r="F123" s="26" t="inlineStr">
        <is>
          <t>dense</t>
        </is>
      </c>
      <c r="G123" s="34" t="n">
        <v>2.69</v>
      </c>
      <c r="H123" s="34" t="n">
        <v>2.69</v>
      </c>
      <c r="I123" s="26" t="inlineStr">
        <is>
          <t>32K</t>
        </is>
      </c>
      <c r="J123" s="26" t="inlineStr">
        <is>
          <t>2026-08-04</t>
        </is>
      </c>
      <c r="K123" s="26" t="inlineStr">
        <is>
          <t>no</t>
        </is>
      </c>
      <c r="L123" s="35" t="n">
        <v>0.006</v>
      </c>
      <c r="M123" s="35" t="n">
        <v>0.002</v>
      </c>
      <c r="N123" s="35" t="n">
        <v>0.018</v>
      </c>
      <c r="O123" s="36" t="inlineStr">
        <is>
          <t>T4</t>
        </is>
      </c>
      <c r="P123" s="26" t="inlineStr">
        <is>
          <t>2026-08-04</t>
        </is>
      </c>
      <c r="Q123" s="26" t="inlineStr">
        <is>
          <t>T4-physics(A=2.69): e_out = 2*N_active/(eta*u*3600)*S with eta=1.4e12 FLOPs/J (H100-class BF16), u=0.3, S=1.7. Open weights, so this row can be moved to T1 by metering your own deployment (§4.8).</t>
        </is>
      </c>
      <c r="R123" s="26" t="inlineStr">
        <is>
          <t>Liquid AI LFM model cards (2026)</t>
        </is>
      </c>
      <c r="S123" s="26" t="inlineStr">
        <is>
          <t>current</t>
        </is>
      </c>
    </row>
    <row r="124">
      <c r="A124" s="26" t="inlineStr">
        <is>
          <t>Jamba2 Mini</t>
        </is>
      </c>
      <c r="B124" s="26" t="inlineStr">
        <is>
          <t>AI21 Labs</t>
        </is>
      </c>
      <c r="C124" s="38" t="inlineStr">
        <is>
          <t>Open</t>
        </is>
      </c>
      <c r="D124" s="26" t="inlineStr">
        <is>
          <t>Apache-2.0</t>
        </is>
      </c>
      <c r="E124" s="26" t="inlineStr">
        <is>
          <t>Mid</t>
        </is>
      </c>
      <c r="F124" s="26" t="inlineStr">
        <is>
          <t>MoE</t>
        </is>
      </c>
      <c r="G124" s="34" t="n">
        <v>52</v>
      </c>
      <c r="H124" s="34" t="n">
        <v>12</v>
      </c>
      <c r="I124" s="26" t="inlineStr">
        <is>
          <t>256K</t>
        </is>
      </c>
      <c r="J124" s="26" t="inlineStr">
        <is>
          <t>2026-01-08</t>
        </is>
      </c>
      <c r="K124" s="26" t="inlineStr">
        <is>
          <t>optional</t>
        </is>
      </c>
      <c r="L124" s="35" t="n">
        <v>0.027</v>
      </c>
      <c r="M124" s="35" t="n">
        <v>0.0089</v>
      </c>
      <c r="N124" s="35" t="n">
        <v>0.081</v>
      </c>
      <c r="O124" s="36" t="inlineStr">
        <is>
          <t>T4</t>
        </is>
      </c>
      <c r="P124" s="26" t="inlineStr">
        <is>
          <t>2026-01-08</t>
        </is>
      </c>
      <c r="Q124" s="26" t="inlineStr">
        <is>
          <t>T4-physics(A=12): e_out = 2*N_active/(eta*u*3600)*S with eta=1.4e12 FLOPs/J (H100-class BF16), u=0.3, S=1.7. Open weights, so this row can be moved to T1 by metering your own deployment (§4.8).</t>
        </is>
      </c>
      <c r="R124" s="26" t="inlineStr">
        <is>
          <t>AI21 Jamba2 model cards (2026)</t>
        </is>
      </c>
      <c r="S124" s="26" t="inlineStr">
        <is>
          <t>current</t>
        </is>
      </c>
    </row>
    <row r="125">
      <c r="A125" s="26" t="inlineStr">
        <is>
          <t>Jamba2 3B</t>
        </is>
      </c>
      <c r="B125" s="26" t="inlineStr">
        <is>
          <t>AI21 Labs</t>
        </is>
      </c>
      <c r="C125" s="38" t="inlineStr">
        <is>
          <t>Open</t>
        </is>
      </c>
      <c r="D125" s="26" t="inlineStr">
        <is>
          <t>Apache-2.0</t>
        </is>
      </c>
      <c r="E125" s="26" t="inlineStr">
        <is>
          <t>Small</t>
        </is>
      </c>
      <c r="F125" s="26" t="inlineStr">
        <is>
          <t>hybrid</t>
        </is>
      </c>
      <c r="G125" s="34" t="n">
        <v>3</v>
      </c>
      <c r="H125" s="34" t="n">
        <v>3</v>
      </c>
      <c r="I125" s="26" t="inlineStr">
        <is>
          <t>256K</t>
        </is>
      </c>
      <c r="J125" s="26" t="inlineStr">
        <is>
          <t>2026-01-08</t>
        </is>
      </c>
      <c r="K125" s="26" t="inlineStr">
        <is>
          <t>optional</t>
        </is>
      </c>
      <c r="L125" s="35" t="n">
        <v>0.0067</v>
      </c>
      <c r="M125" s="35" t="n">
        <v>0.0022</v>
      </c>
      <c r="N125" s="35" t="n">
        <v>0.021</v>
      </c>
      <c r="O125" s="36" t="inlineStr">
        <is>
          <t>T4</t>
        </is>
      </c>
      <c r="P125" s="26" t="inlineStr">
        <is>
          <t>2026-01-08</t>
        </is>
      </c>
      <c r="Q125" s="26" t="inlineStr">
        <is>
          <t>T4-physics(A=3): e_out = 2*N_active/(eta*u*3600)*S with eta=1.4e12 FLOPs/J (H100-class BF16), u=0.3, S=1.7. Open weights, so this row can be moved to T1 by metering your own deployment (§4.8).</t>
        </is>
      </c>
      <c r="R125" s="26" t="inlineStr">
        <is>
          <t>AI21 Jamba2 model cards (2026)</t>
        </is>
      </c>
      <c r="S125" s="26" t="inlineStr">
        <is>
          <t>current</t>
        </is>
      </c>
    </row>
    <row r="126">
      <c r="A126" s="26" t="inlineStr">
        <is>
          <t>Arcee Trinity Large</t>
        </is>
      </c>
      <c r="B126" s="26" t="inlineStr">
        <is>
          <t>Arcee AI</t>
        </is>
      </c>
      <c r="C126" s="38" t="inlineStr">
        <is>
          <t>Open</t>
        </is>
      </c>
      <c r="D126" s="26" t="inlineStr">
        <is>
          <t>Apache-2.0</t>
        </is>
      </c>
      <c r="E126" s="26" t="inlineStr">
        <is>
          <t>Frontier</t>
        </is>
      </c>
      <c r="F126" s="26" t="inlineStr">
        <is>
          <t>MoE</t>
        </is>
      </c>
      <c r="G126" s="34" t="n">
        <v>420</v>
      </c>
      <c r="H126" s="34" t="n">
        <v>13</v>
      </c>
      <c r="I126" s="26" t="inlineStr">
        <is>
          <t>128K</t>
        </is>
      </c>
      <c r="J126" s="26" t="inlineStr">
        <is>
          <t>2026-01</t>
        </is>
      </c>
      <c r="K126" s="26" t="inlineStr">
        <is>
          <t>optional</t>
        </is>
      </c>
      <c r="L126" s="35" t="n">
        <v>0.029</v>
      </c>
      <c r="M126" s="35" t="n">
        <v>0.009599999999999999</v>
      </c>
      <c r="N126" s="35" t="n">
        <v>0.08699999999999999</v>
      </c>
      <c r="O126" s="36" t="inlineStr">
        <is>
          <t>T4</t>
        </is>
      </c>
      <c r="P126" s="26" t="inlineStr">
        <is>
          <t>2026-01</t>
        </is>
      </c>
      <c r="Q126" s="26" t="inlineStr">
        <is>
          <t>T4-physics(A=13): e_out = 2*N_active/(eta*u*3600)*S with eta=1.4e12 FLOPs/J (H100-class BF16), u=0.3, S=1.7. Open weights, so this row can be moved to T1 by metering your own deployment (§4.8).</t>
        </is>
      </c>
      <c r="R126" s="26" t="inlineStr">
        <is>
          <t>Arcee AI Trinity model cards (2026)</t>
        </is>
      </c>
      <c r="S126" s="26" t="inlineStr">
        <is>
          <t>current</t>
        </is>
      </c>
    </row>
    <row r="127">
      <c r="A127" s="26" t="inlineStr">
        <is>
          <t>Apertus-70B</t>
        </is>
      </c>
      <c r="B127" s="26" t="inlineStr">
        <is>
          <t>Swiss AI Initiative</t>
        </is>
      </c>
      <c r="C127" s="38" t="inlineStr">
        <is>
          <t>Open</t>
        </is>
      </c>
      <c r="D127" s="26" t="inlineStr">
        <is>
          <t>Apache-2.0</t>
        </is>
      </c>
      <c r="E127" s="26" t="inlineStr">
        <is>
          <t>Mid</t>
        </is>
      </c>
      <c r="F127" s="26" t="inlineStr">
        <is>
          <t>dense</t>
        </is>
      </c>
      <c r="G127" s="34" t="n">
        <v>70</v>
      </c>
      <c r="H127" s="34" t="n">
        <v>70</v>
      </c>
      <c r="I127" s="26" t="inlineStr">
        <is>
          <t>65K</t>
        </is>
      </c>
      <c r="J127" s="26" t="inlineStr">
        <is>
          <t>2025-09-02</t>
        </is>
      </c>
      <c r="K127" s="26" t="inlineStr">
        <is>
          <t>no</t>
        </is>
      </c>
      <c r="L127" s="35" t="n">
        <v>0.16</v>
      </c>
      <c r="M127" s="35" t="n">
        <v>0.053</v>
      </c>
      <c r="N127" s="35" t="n">
        <v>0.48</v>
      </c>
      <c r="O127" s="36" t="inlineStr">
        <is>
          <t>T4</t>
        </is>
      </c>
      <c r="P127" s="26" t="inlineStr">
        <is>
          <t>2025-09-02</t>
        </is>
      </c>
      <c r="Q127" s="26" t="inlineStr">
        <is>
          <t>T4-physics(A=70): e_out = 2*N_active/(eta*u*3600)*S with eta=1.4e12 FLOPs/J (H100-class BF16), u=0.3, S=1.7. Open weights, so this row can be moved to T1 by metering your own deployment (§4.8). Fully open European model: weights, data and training documentation published.</t>
        </is>
      </c>
      <c r="R127" s="26" t="inlineStr">
        <is>
          <t>Swiss AI Initiative (EPFL/ETH Zurich) Apertus model card (2025)</t>
        </is>
      </c>
      <c r="S127" s="26" t="inlineStr">
        <is>
          <t>current</t>
        </is>
      </c>
    </row>
    <row r="128">
      <c r="A128" s="26" t="inlineStr">
        <is>
          <t>Apertus-8B</t>
        </is>
      </c>
      <c r="B128" s="26" t="inlineStr">
        <is>
          <t>Swiss AI Initiative</t>
        </is>
      </c>
      <c r="C128" s="38" t="inlineStr">
        <is>
          <t>Open</t>
        </is>
      </c>
      <c r="D128" s="26" t="inlineStr">
        <is>
          <t>Apache-2.0</t>
        </is>
      </c>
      <c r="E128" s="26" t="inlineStr">
        <is>
          <t>Small</t>
        </is>
      </c>
      <c r="F128" s="26" t="inlineStr">
        <is>
          <t>dense</t>
        </is>
      </c>
      <c r="G128" s="34" t="n">
        <v>8</v>
      </c>
      <c r="H128" s="34" t="n">
        <v>8</v>
      </c>
      <c r="I128" s="26" t="inlineStr">
        <is>
          <t>65K</t>
        </is>
      </c>
      <c r="J128" s="26" t="inlineStr">
        <is>
          <t>2025-09-02</t>
        </is>
      </c>
      <c r="K128" s="26" t="inlineStr">
        <is>
          <t>no</t>
        </is>
      </c>
      <c r="L128" s="35" t="n">
        <v>0.018</v>
      </c>
      <c r="M128" s="35" t="n">
        <v>0.0059</v>
      </c>
      <c r="N128" s="35" t="n">
        <v>0.054</v>
      </c>
      <c r="O128" s="36" t="inlineStr">
        <is>
          <t>T4</t>
        </is>
      </c>
      <c r="P128" s="26" t="inlineStr">
        <is>
          <t>2025-09-02</t>
        </is>
      </c>
      <c r="Q128" s="26" t="inlineStr">
        <is>
          <t>T4-physics(A=8): e_out = 2*N_active/(eta*u*3600)*S with eta=1.4e12 FLOPs/J (H100-class BF16), u=0.3, S=1.7. Open weights, so this row can be moved to T1 by metering your own deployment (§4.8).</t>
        </is>
      </c>
      <c r="R128" s="26" t="inlineStr">
        <is>
          <t>Swiss AI Initiative Apertus model card (2025)</t>
        </is>
      </c>
      <c r="S128" s="26" t="inlineStr">
        <is>
          <t>current</t>
        </is>
      </c>
    </row>
    <row r="129">
      <c r="A129" s="26" t="inlineStr">
        <is>
          <t>EuroLLM-22B</t>
        </is>
      </c>
      <c r="B129" s="26" t="inlineStr">
        <is>
          <t>EuroLLM consortium</t>
        </is>
      </c>
      <c r="C129" s="38" t="inlineStr">
        <is>
          <t>Open</t>
        </is>
      </c>
      <c r="D129" s="26" t="inlineStr">
        <is>
          <t>Apache-2.0</t>
        </is>
      </c>
      <c r="E129" s="26" t="inlineStr">
        <is>
          <t>Small</t>
        </is>
      </c>
      <c r="F129" s="26" t="inlineStr">
        <is>
          <t>dense</t>
        </is>
      </c>
      <c r="G129" s="34" t="n">
        <v>22</v>
      </c>
      <c r="H129" s="34" t="n">
        <v>22</v>
      </c>
      <c r="I129" s="26" t="inlineStr">
        <is>
          <t>32K</t>
        </is>
      </c>
      <c r="J129" s="26" t="inlineStr">
        <is>
          <t>2025-12</t>
        </is>
      </c>
      <c r="K129" s="26" t="inlineStr">
        <is>
          <t>no</t>
        </is>
      </c>
      <c r="L129" s="35" t="n">
        <v>0.049</v>
      </c>
      <c r="M129" s="35" t="n">
        <v>0.016</v>
      </c>
      <c r="N129" s="35" t="n">
        <v>0.15</v>
      </c>
      <c r="O129" s="36" t="inlineStr">
        <is>
          <t>T4</t>
        </is>
      </c>
      <c r="P129" s="26" t="inlineStr">
        <is>
          <t>2025-12</t>
        </is>
      </c>
      <c r="Q129" s="26" t="inlineStr">
        <is>
          <t>T4-physics(A=22): e_out = 2*N_active/(eta*u*3600)*S with eta=1.4e12 FLOPs/J (H100-class BF16), u=0.3, S=1.7. Open weights, so this row can be moved to T1 by metering your own deployment (§4.8).</t>
        </is>
      </c>
      <c r="R129" s="26" t="inlineStr">
        <is>
          <t>EuroLLM consortium model cards (Horizon Europe, 2025)</t>
        </is>
      </c>
      <c r="S129" s="26" t="inlineStr">
        <is>
          <t>current</t>
        </is>
      </c>
    </row>
    <row r="130">
      <c r="A130" s="26" t="inlineStr">
        <is>
          <t>Comma v0.1-2T 7B</t>
        </is>
      </c>
      <c r="B130" s="26" t="inlineStr">
        <is>
          <t>EleutherAI</t>
        </is>
      </c>
      <c r="C130" s="38" t="inlineStr">
        <is>
          <t>Open</t>
        </is>
      </c>
      <c r="D130" s="26" t="inlineStr">
        <is>
          <t>Open (openly licensed data)</t>
        </is>
      </c>
      <c r="E130" s="26" t="inlineStr">
        <is>
          <t>Small</t>
        </is>
      </c>
      <c r="F130" s="26" t="inlineStr">
        <is>
          <t>dense</t>
        </is>
      </c>
      <c r="G130" s="34" t="n">
        <v>7</v>
      </c>
      <c r="H130" s="34" t="n">
        <v>7</v>
      </c>
      <c r="I130" s="26" t="inlineStr">
        <is>
          <t>8K</t>
        </is>
      </c>
      <c r="J130" s="26" t="inlineStr">
        <is>
          <t>2025-06</t>
        </is>
      </c>
      <c r="K130" s="26" t="inlineStr">
        <is>
          <t>no</t>
        </is>
      </c>
      <c r="L130" s="35" t="n">
        <v>0.016</v>
      </c>
      <c r="M130" s="35" t="n">
        <v>0.0053</v>
      </c>
      <c r="N130" s="35" t="n">
        <v>0.048</v>
      </c>
      <c r="O130" s="36" t="inlineStr">
        <is>
          <t>T4</t>
        </is>
      </c>
      <c r="P130" s="26" t="inlineStr">
        <is>
          <t>2025-06</t>
        </is>
      </c>
      <c r="Q130" s="26" t="inlineStr">
        <is>
          <t>T4-physics(A=7): e_out = 2*N_active/(eta*u*3600)*S with eta=1.4e12 FLOPs/J (H100-class BF16), u=0.3, S=1.7. Open weights, so this row can be moved to T1 by metering your own deployment (§4.8). Trained only on openly licensed text; useful as a fully reproducible reference point.</t>
        </is>
      </c>
      <c r="R130" s="26" t="inlineStr">
        <is>
          <t>EleutherAI Comma model card (2025)</t>
        </is>
      </c>
      <c r="S130" s="26" t="inlineStr">
        <is>
          <t>current</t>
        </is>
      </c>
    </row>
    <row r="131">
      <c r="A131" s="26" t="inlineStr">
        <is>
          <t>Grok 4</t>
        </is>
      </c>
      <c r="B131" s="26" t="inlineStr">
        <is>
          <t>xAI</t>
        </is>
      </c>
      <c r="C131" s="26" t="inlineStr">
        <is>
          <t>Proprietary</t>
        </is>
      </c>
      <c r="D131" s="26" t="inlineStr">
        <is>
          <t>proprietary</t>
        </is>
      </c>
      <c r="E131" s="26" t="inlineStr">
        <is>
          <t>Frontier</t>
        </is>
      </c>
      <c r="F131" s="26" t="inlineStr">
        <is>
          <t>undisclosed</t>
        </is>
      </c>
      <c r="G131" s="34" t="inlineStr"/>
      <c r="H131" s="34" t="inlineStr"/>
      <c r="I131" s="26" t="inlineStr">
        <is>
          <t>256K</t>
        </is>
      </c>
      <c r="J131" s="26" t="inlineStr">
        <is>
          <t>2025-07</t>
        </is>
      </c>
      <c r="K131" s="26" t="inlineStr">
        <is>
          <t>always</t>
        </is>
      </c>
      <c r="L131" s="35" t="n">
        <v>1.2</v>
      </c>
      <c r="M131" s="35" t="n">
        <v>0.39</v>
      </c>
      <c r="N131" s="35" t="n">
        <v>3.6</v>
      </c>
      <c r="O131" s="36" t="inlineStr">
        <is>
          <t>T4</t>
        </is>
      </c>
      <c r="P131" s="26" t="inlineStr">
        <is>
          <t>2025-07</t>
        </is>
      </c>
      <c r="Q131" s="26" t="inlineStr">
        <is>
          <t>Class anchor for frontier closed-weight serving (§4.5): no parameter disclosure and no published per-request measurement, so the row carries the full T4 band. The ceiling for an API row is T2 and only the provider can lift it (§4.8). Carried forward from the 2025 database and NOT re-verified in the September 2026 research pass — this provider's current lineup could not be confirmed, so a successor model may exist. Treat the vintage, not the row, as the warning.</t>
        </is>
      </c>
      <c r="R131" s="26" t="inlineStr">
        <is>
          <t>xAI Grok 4 announcement (July 2025)</t>
        </is>
      </c>
      <c r="S131" s="26" t="inlineStr">
        <is>
          <t>current</t>
        </is>
      </c>
    </row>
    <row r="132">
      <c r="A132" s="26" t="inlineStr">
        <is>
          <t>Grok 4 Fast</t>
        </is>
      </c>
      <c r="B132" s="26" t="inlineStr">
        <is>
          <t>xAI</t>
        </is>
      </c>
      <c r="C132" s="26" t="inlineStr">
        <is>
          <t>Proprietary</t>
        </is>
      </c>
      <c r="D132" s="26" t="inlineStr">
        <is>
          <t>proprietary</t>
        </is>
      </c>
      <c r="E132" s="26" t="inlineStr">
        <is>
          <t>Mid</t>
        </is>
      </c>
      <c r="F132" s="26" t="inlineStr">
        <is>
          <t>undisclosed</t>
        </is>
      </c>
      <c r="G132" s="34" t="inlineStr"/>
      <c r="H132" s="34" t="inlineStr"/>
      <c r="I132" s="26" t="inlineStr">
        <is>
          <t>2M</t>
        </is>
      </c>
      <c r="J132" s="26" t="inlineStr">
        <is>
          <t>2025-09</t>
        </is>
      </c>
      <c r="K132" s="26" t="inlineStr">
        <is>
          <t>optional</t>
        </is>
      </c>
      <c r="L132" s="35" t="n">
        <v>0.3</v>
      </c>
      <c r="M132" s="35" t="n">
        <v>0.09</v>
      </c>
      <c r="N132" s="35" t="n">
        <v>0.9</v>
      </c>
      <c r="O132" s="36" t="inlineStr">
        <is>
          <t>T4</t>
        </is>
      </c>
      <c r="P132" s="26" t="inlineStr">
        <is>
          <t>2025-09</t>
        </is>
      </c>
      <c r="Q132" s="26" t="inlineStr">
        <is>
          <t>Class anchor for mid closed-weight serving (§4.5): no parameter disclosure and no published per-request measurement, so the row carries the full T4 band. The ceiling for an API row is T2 and only the provider can lift it (§4.8). Carried forward from the 2025 database and NOT re-verified in the September 2026 research pass — this provider's current lineup could not be confirmed, so a successor model may exist. Treat the vintage, not the row, as the warning.</t>
        </is>
      </c>
      <c r="R132" s="26" t="inlineStr">
        <is>
          <t>xAI model documentation (2025)</t>
        </is>
      </c>
      <c r="S132" s="26" t="inlineStr">
        <is>
          <t>current</t>
        </is>
      </c>
    </row>
    <row r="133">
      <c r="A133" s="26" t="inlineStr">
        <is>
          <t>Amazon Nova Pro</t>
        </is>
      </c>
      <c r="B133" s="26" t="inlineStr">
        <is>
          <t>Amazon</t>
        </is>
      </c>
      <c r="C133" s="26" t="inlineStr">
        <is>
          <t>Proprietary</t>
        </is>
      </c>
      <c r="D133" s="26" t="inlineStr">
        <is>
          <t>proprietary</t>
        </is>
      </c>
      <c r="E133" s="26" t="inlineStr">
        <is>
          <t>Mid</t>
        </is>
      </c>
      <c r="F133" s="26" t="inlineStr">
        <is>
          <t>undisclosed</t>
        </is>
      </c>
      <c r="G133" s="34" t="inlineStr"/>
      <c r="H133" s="34" t="inlineStr"/>
      <c r="I133" s="26" t="inlineStr">
        <is>
          <t>300K</t>
        </is>
      </c>
      <c r="J133" s="26" t="inlineStr">
        <is>
          <t>2024-12</t>
        </is>
      </c>
      <c r="K133" s="26" t="inlineStr">
        <is>
          <t>no</t>
        </is>
      </c>
      <c r="L133" s="35" t="n">
        <v>0.3</v>
      </c>
      <c r="M133" s="35" t="n">
        <v>0.09</v>
      </c>
      <c r="N133" s="35" t="n">
        <v>0.9</v>
      </c>
      <c r="O133" s="36" t="inlineStr">
        <is>
          <t>T4</t>
        </is>
      </c>
      <c r="P133" s="26" t="inlineStr">
        <is>
          <t>2024-12</t>
        </is>
      </c>
      <c r="Q133" s="26" t="inlineStr">
        <is>
          <t>Class anchor for mid closed-weight serving (§4.5): no parameter disclosure and no published per-request measurement, so the row carries the full T4 band. The ceiling for an API row is T2 and only the provider can lift it (§4.8). Carried forward from the 2025 database and NOT re-verified in the September 2026 research pass — this provider's current lineup could not be confirmed, so a successor model may exist. Treat the vintage, not the row, as the warning.</t>
        </is>
      </c>
      <c r="R133" s="26" t="inlineStr">
        <is>
          <t>Amazon Nova model cards (2024-2025)</t>
        </is>
      </c>
      <c r="S133" s="26" t="inlineStr">
        <is>
          <t>current</t>
        </is>
      </c>
    </row>
    <row r="134">
      <c r="A134" s="26" t="inlineStr">
        <is>
          <t>Amazon Nova Lite</t>
        </is>
      </c>
      <c r="B134" s="26" t="inlineStr">
        <is>
          <t>Amazon</t>
        </is>
      </c>
      <c r="C134" s="26" t="inlineStr">
        <is>
          <t>Proprietary</t>
        </is>
      </c>
      <c r="D134" s="26" t="inlineStr">
        <is>
          <t>proprietary</t>
        </is>
      </c>
      <c r="E134" s="26" t="inlineStr">
        <is>
          <t>Small</t>
        </is>
      </c>
      <c r="F134" s="26" t="inlineStr">
        <is>
          <t>undisclosed</t>
        </is>
      </c>
      <c r="G134" s="34" t="inlineStr"/>
      <c r="H134" s="34" t="inlineStr"/>
      <c r="I134" s="26" t="inlineStr">
        <is>
          <t>300K</t>
        </is>
      </c>
      <c r="J134" s="26" t="inlineStr">
        <is>
          <t>2024-12</t>
        </is>
      </c>
      <c r="K134" s="26" t="inlineStr">
        <is>
          <t>no</t>
        </is>
      </c>
      <c r="L134" s="35" t="n">
        <v>0.12</v>
      </c>
      <c r="M134" s="35" t="n">
        <v>0.04</v>
      </c>
      <c r="N134" s="35" t="n">
        <v>0.36</v>
      </c>
      <c r="O134" s="36" t="inlineStr">
        <is>
          <t>T4</t>
        </is>
      </c>
      <c r="P134" s="26" t="inlineStr">
        <is>
          <t>2024-12</t>
        </is>
      </c>
      <c r="Q134" s="26" t="inlineStr">
        <is>
          <t>Class anchor for small closed-weight serving (§4.5): no parameter disclosure and no published per-request measurement, so the row carries the full T4 band. The ceiling for an API row is T2 and only the provider can lift it (§4.8). Carried forward from the 2025 database and NOT re-verified in the September 2026 research pass — this provider's current lineup could not be confirmed, so a successor model may exist. Treat the vintage, not the row, as the warning.</t>
        </is>
      </c>
      <c r="R134" s="26" t="inlineStr">
        <is>
          <t>Amazon Nova model cards (2024-2025)</t>
        </is>
      </c>
      <c r="S134" s="26" t="inlineStr">
        <is>
          <t>current</t>
        </is>
      </c>
    </row>
    <row r="135">
      <c r="A135" s="26" t="inlineStr">
        <is>
          <t>Amazon Nova Micro</t>
        </is>
      </c>
      <c r="B135" s="26" t="inlineStr">
        <is>
          <t>Amazon</t>
        </is>
      </c>
      <c r="C135" s="26" t="inlineStr">
        <is>
          <t>Proprietary</t>
        </is>
      </c>
      <c r="D135" s="26" t="inlineStr">
        <is>
          <t>proprietary</t>
        </is>
      </c>
      <c r="E135" s="26" t="inlineStr">
        <is>
          <t>Tiny</t>
        </is>
      </c>
      <c r="F135" s="26" t="inlineStr">
        <is>
          <t>undisclosed</t>
        </is>
      </c>
      <c r="G135" s="34" t="inlineStr"/>
      <c r="H135" s="34" t="inlineStr"/>
      <c r="I135" s="26" t="inlineStr">
        <is>
          <t>128K</t>
        </is>
      </c>
      <c r="J135" s="26" t="inlineStr">
        <is>
          <t>2024-12</t>
        </is>
      </c>
      <c r="K135" s="26" t="inlineStr">
        <is>
          <t>no</t>
        </is>
      </c>
      <c r="L135" s="35" t="n">
        <v>0.05</v>
      </c>
      <c r="M135" s="35" t="n">
        <v>0.016</v>
      </c>
      <c r="N135" s="35" t="n">
        <v>0.16</v>
      </c>
      <c r="O135" s="36" t="inlineStr">
        <is>
          <t>T4</t>
        </is>
      </c>
      <c r="P135" s="26" t="inlineStr">
        <is>
          <t>2024-12</t>
        </is>
      </c>
      <c r="Q135" s="26" t="inlineStr">
        <is>
          <t>Class anchor for tiny closed-weight serving (§4.5): no parameter disclosure and no published per-request measurement, so the row carries the full T4 band. The ceiling for an API row is T2 and only the provider can lift it (§4.8). Carried forward from the 2025 database and NOT re-verified in the September 2026 research pass — this provider's current lineup could not be confirmed, so a successor model may exist. Treat the vintage, not the row, as the warning.</t>
        </is>
      </c>
      <c r="R135" s="26" t="inlineStr">
        <is>
          <t>Amazon Nova model cards (2024-2025)</t>
        </is>
      </c>
      <c r="S135" s="26" t="inlineStr">
        <is>
          <t>current</t>
        </is>
      </c>
    </row>
    <row r="136">
      <c r="A136" s="26" t="inlineStr">
        <is>
          <t>Custom / my own model</t>
        </is>
      </c>
      <c r="B136" s="26" t="inlineStr">
        <is>
          <t>(user)</t>
        </is>
      </c>
      <c r="C136" s="38" t="inlineStr">
        <is>
          <t>Open</t>
        </is>
      </c>
      <c r="D136" s="26" t="inlineStr">
        <is>
          <t>—</t>
        </is>
      </c>
      <c r="E136" s="26" t="inlineStr">
        <is>
          <t>Mid</t>
        </is>
      </c>
      <c r="F136" s="26" t="inlineStr">
        <is>
          <t>dense</t>
        </is>
      </c>
      <c r="G136" s="34" t="inlineStr"/>
      <c r="H136" s="34" t="inlineStr"/>
      <c r="I136" s="26" t="inlineStr">
        <is>
          <t>—</t>
        </is>
      </c>
      <c r="J136" s="26" t="inlineStr"/>
      <c r="K136" s="26" t="inlineStr">
        <is>
          <t>no</t>
        </is>
      </c>
      <c r="L136" s="35" t="n">
        <v>0.15</v>
      </c>
      <c r="M136" s="35" t="n">
        <v>0.05</v>
      </c>
      <c r="N136" s="35" t="n">
        <v>0.45</v>
      </c>
      <c r="O136" s="36" t="inlineStr">
        <is>
          <t>T4</t>
        </is>
      </c>
      <c r="P136" s="26" t="inlineStr">
        <is>
          <t>2026-09</t>
        </is>
      </c>
      <c r="Q136" s="26" t="inlineStr">
        <is>
          <t>Editable row. Replace with your own metered figure (T1, band ×/÷ 1.15) or with a physics estimate for your active parameter count: e_out = 2.25e-3 × N_active_billions Wh per 1k output tokens at the H100-class anchor. Measuring beats every other row in this table.</t>
        </is>
      </c>
      <c r="R136" s="26" t="inlineStr">
        <is>
          <t>User-supplied</t>
        </is>
      </c>
      <c r="S136" s="26" t="inlineStr">
        <is>
          <t>current</t>
        </is>
      </c>
    </row>
    <row r="138" ht="26" customHeight="1">
      <c r="A138" s="12" t="inlineStr">
        <is>
          <t>IT boundary = accelerator + host + idle serving capacity (the serving-stack multiplier S is already applied to every row). ENERGY ONLY is stored per model: carbon and water come from the separate Region and Facility tables, because they vary independently of the model (P3).</t>
        </is>
      </c>
    </row>
    <row r="139" ht="26" customHeight="1">
      <c r="A139" s="12" t="inlineStr">
        <is>
          <t>Tier key: T1 measured · T2 provider-disclosed · T3 independently benchmarked · T4 modelled from parameter physics (§4.5). The tier sets the minimum width of the uncertainty band; rows whose sources disagree carry wider bounds, justified in the Basis column.</t>
        </is>
      </c>
    </row>
    <row r="140" ht="26" customHeight="1">
      <c r="A140" s="12" t="inlineStr">
        <is>
          <t>Active params drive energy per token; total params drive memory. For mixture-of-experts models the two differ by an order of magnitude, which is why the Tier-4 physics model uses ACTIVE parameters (§4.5).</t>
        </is>
      </c>
    </row>
    <row r="141" ht="26" customHeight="1">
      <c r="A141" s="12" t="inlineStr">
        <is>
          <t>Weights = Open means the checkpoint is downloadable, so the deployment can be metered directly and moved to T1. It is not a quality or licence judgement — see the Licence column for terms.</t>
        </is>
      </c>
    </row>
    <row r="142" ht="26" customHeight="1">
      <c r="A142" s="12" t="inlineStr">
        <is>
          <t>Status = legacy marks superseded rows kept for historical comparison. Source of truth: data/models.csv.</t>
        </is>
      </c>
    </row>
  </sheetData>
  <mergeCells count="5">
    <mergeCell ref="A142:S142"/>
    <mergeCell ref="A138:S138"/>
    <mergeCell ref="A141:S141"/>
    <mergeCell ref="A140:S140"/>
    <mergeCell ref="A139:S13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3"/>
  <sheetViews>
    <sheetView workbookViewId="0">
      <pane ySplit="1" topLeftCell="A2" activePane="bottomLeft" state="frozen"/>
      <selection pane="bottomLeft" activeCell="A1" sqref="A1"/>
    </sheetView>
  </sheetViews>
  <sheetFormatPr baseColWidth="8" defaultRowHeight="15"/>
  <cols>
    <col width="22" customWidth="1" min="1" max="1"/>
    <col width="13" customWidth="1" min="2" max="2"/>
    <col width="9" customWidth="1" min="3" max="3"/>
    <col width="9" customWidth="1" min="4" max="4"/>
    <col width="11" customWidth="1" min="5" max="5"/>
    <col width="9" customWidth="1" min="6" max="6"/>
    <col width="9" customWidth="1" min="7" max="7"/>
    <col width="9" customWidth="1" min="8" max="8"/>
    <col width="55" customWidth="1" min="9" max="9"/>
    <col width="42" customWidth="1" min="10" max="10"/>
  </cols>
  <sheetData>
    <row r="1">
      <c r="A1" s="16" t="inlineStr">
        <is>
          <t>Region</t>
        </is>
      </c>
      <c r="B1" s="16" t="inlineStr">
        <is>
          <t>CI location (g CO2e/kWh)</t>
        </is>
      </c>
      <c r="C1" s="16" t="inlineStr">
        <is>
          <t>CI low</t>
        </is>
      </c>
      <c r="D1" s="16" t="inlineStr">
        <is>
          <t>CI high</t>
        </is>
      </c>
      <c r="E1" s="16" t="inlineStr">
        <is>
          <t>EWIF (L/kWh)</t>
        </is>
      </c>
      <c r="F1" s="16" t="inlineStr">
        <is>
          <t>EWIF low</t>
        </is>
      </c>
      <c r="G1" s="16" t="inlineStr">
        <is>
          <t>EWIF high</t>
        </is>
      </c>
      <c r="H1" s="16" t="inlineStr">
        <is>
          <t>Vintage</t>
        </is>
      </c>
      <c r="I1" s="16" t="inlineStr">
        <is>
          <t>Source</t>
        </is>
      </c>
      <c r="J1" s="16" t="inlineStr">
        <is>
          <t>Notes</t>
        </is>
      </c>
    </row>
    <row r="2">
      <c r="A2" s="26" t="inlineStr">
        <is>
          <t>Global average</t>
        </is>
      </c>
      <c r="B2" s="40" t="n">
        <v>473</v>
      </c>
      <c r="C2" s="40" t="n">
        <v>425</v>
      </c>
      <c r="D2" s="40" t="n">
        <v>520</v>
      </c>
      <c r="E2" s="41" t="n">
        <v>2</v>
      </c>
      <c r="F2" s="41" t="n">
        <v>1</v>
      </c>
      <c r="G2" s="41" t="n">
        <v>4</v>
      </c>
      <c r="H2" s="26" t="inlineStr">
        <is>
          <t>2024</t>
        </is>
      </c>
      <c r="I2" s="26" t="inlineStr">
        <is>
          <t>Ember Global Electricity Review 2025 (2024 data); EWIF: Li et al. arXiv:2304.03271 + Macknick et al. 2012</t>
        </is>
      </c>
      <c r="J2" s="26" t="inlineStr">
        <is>
          <t>Default when hosting region is unknown</t>
        </is>
      </c>
    </row>
    <row r="3">
      <c r="A3" s="26" t="inlineStr">
        <is>
          <t>United States</t>
        </is>
      </c>
      <c r="B3" s="40" t="n">
        <v>384</v>
      </c>
      <c r="C3" s="40" t="n">
        <v>350</v>
      </c>
      <c r="D3" s="40" t="n">
        <v>420</v>
      </c>
      <c r="E3" s="41" t="n">
        <v>1.8</v>
      </c>
      <c r="F3" s="41" t="n">
        <v>1</v>
      </c>
      <c r="G3" s="41" t="n">
        <v>3.1</v>
      </c>
      <c r="H3" s="26" t="inlineStr">
        <is>
          <t>2024</t>
        </is>
      </c>
      <c r="I3" s="26" t="inlineStr">
        <is>
          <t>Ember (2024 data); Macknick et al. operational consumption factors</t>
        </is>
      </c>
      <c r="J3" s="26" t="inlineStr">
        <is>
          <t>EWIF varies strongly by state (CAISO vs coal states)</t>
        </is>
      </c>
    </row>
    <row r="4">
      <c r="A4" s="26" t="inlineStr">
        <is>
          <t>EU average</t>
        </is>
      </c>
      <c r="B4" s="40" t="n">
        <v>213</v>
      </c>
      <c r="C4" s="40" t="n">
        <v>190</v>
      </c>
      <c r="D4" s="40" t="n">
        <v>240</v>
      </c>
      <c r="E4" s="41" t="n">
        <v>1.9</v>
      </c>
      <c r="F4" s="41" t="n">
        <v>1</v>
      </c>
      <c r="G4" s="41" t="n">
        <v>3</v>
      </c>
      <c r="H4" s="26" t="inlineStr">
        <is>
          <t>2024</t>
        </is>
      </c>
      <c r="I4" s="26" t="inlineStr">
        <is>
          <t>Ember (2024 data)</t>
        </is>
      </c>
      <c r="J4" s="26" t="inlineStr"/>
    </row>
    <row r="5">
      <c r="A5" s="26" t="inlineStr">
        <is>
          <t>France</t>
        </is>
      </c>
      <c r="B5" s="40" t="n">
        <v>40</v>
      </c>
      <c r="C5" s="40" t="n">
        <v>20</v>
      </c>
      <c r="D5" s="40" t="n">
        <v>60</v>
      </c>
      <c r="E5" s="41" t="n">
        <v>2.4</v>
      </c>
      <c r="F5" s="41" t="n">
        <v>1.2</v>
      </c>
      <c r="G5" s="41" t="n">
        <v>3.6</v>
      </c>
      <c r="H5" s="26" t="inlineStr">
        <is>
          <t>2024</t>
        </is>
      </c>
      <c r="I5" s="26" t="inlineStr">
        <is>
          <t>Ember (2024 data)</t>
        </is>
      </c>
      <c r="J5" s="26" t="inlineStr">
        <is>
          <t>Nuclear-dominated grid: very low carbon; cooling-tower evaporation raises EWIF</t>
        </is>
      </c>
    </row>
    <row r="6">
      <c r="A6" s="26" t="inlineStr">
        <is>
          <t>Germany</t>
        </is>
      </c>
      <c r="B6" s="40" t="n">
        <v>344</v>
      </c>
      <c r="C6" s="40" t="n">
        <v>300</v>
      </c>
      <c r="D6" s="40" t="n">
        <v>390</v>
      </c>
      <c r="E6" s="41" t="n">
        <v>1.6</v>
      </c>
      <c r="F6" s="41" t="n">
        <v>0.8</v>
      </c>
      <c r="G6" s="41" t="n">
        <v>2.4</v>
      </c>
      <c r="H6" s="26" t="inlineStr">
        <is>
          <t>2024</t>
        </is>
      </c>
      <c r="I6" s="26" t="inlineStr">
        <is>
          <t>Ember (2024 data)</t>
        </is>
      </c>
      <c r="J6" s="26" t="inlineStr"/>
    </row>
    <row r="7">
      <c r="A7" s="26" t="inlineStr">
        <is>
          <t>United Kingdom</t>
        </is>
      </c>
      <c r="B7" s="40" t="n">
        <v>124</v>
      </c>
      <c r="C7" s="40" t="n">
        <v>100</v>
      </c>
      <c r="D7" s="40" t="n">
        <v>150</v>
      </c>
      <c r="E7" s="41" t="n">
        <v>1.4</v>
      </c>
      <c r="F7" s="41" t="n">
        <v>0.7</v>
      </c>
      <c r="G7" s="41" t="n">
        <v>2.1</v>
      </c>
      <c r="H7" s="26" t="inlineStr">
        <is>
          <t>2024</t>
        </is>
      </c>
      <c r="I7" s="26" t="inlineStr">
        <is>
          <t>Ember (2024 data)</t>
        </is>
      </c>
      <c r="J7" s="26" t="inlineStr"/>
    </row>
    <row r="8">
      <c r="A8" s="26" t="inlineStr">
        <is>
          <t>Ireland</t>
        </is>
      </c>
      <c r="B8" s="40" t="n">
        <v>280</v>
      </c>
      <c r="C8" s="40" t="n">
        <v>240</v>
      </c>
      <c r="D8" s="40" t="n">
        <v>330</v>
      </c>
      <c r="E8" s="41" t="n">
        <v>1.3</v>
      </c>
      <c r="F8" s="41" t="n">
        <v>0.7</v>
      </c>
      <c r="G8" s="41" t="n">
        <v>2</v>
      </c>
      <c r="H8" s="26" t="inlineStr">
        <is>
          <t>2024</t>
        </is>
      </c>
      <c r="I8" s="26" t="inlineStr">
        <is>
          <t>Ember (2024 data)</t>
        </is>
      </c>
      <c r="J8" s="26" t="inlineStr">
        <is>
          <t>Major EU data-center hub</t>
        </is>
      </c>
    </row>
    <row r="9">
      <c r="A9" s="26" t="inlineStr">
        <is>
          <t>Netherlands</t>
        </is>
      </c>
      <c r="B9" s="40" t="n">
        <v>240</v>
      </c>
      <c r="C9" s="40" t="n">
        <v>200</v>
      </c>
      <c r="D9" s="40" t="n">
        <v>290</v>
      </c>
      <c r="E9" s="41" t="n">
        <v>1.4</v>
      </c>
      <c r="F9" s="41" t="n">
        <v>0.7</v>
      </c>
      <c r="G9" s="41" t="n">
        <v>2.1</v>
      </c>
      <c r="H9" s="26" t="inlineStr">
        <is>
          <t>2024</t>
        </is>
      </c>
      <c r="I9" s="26" t="inlineStr">
        <is>
          <t>Ember (2024 data)</t>
        </is>
      </c>
      <c r="J9" s="26" t="inlineStr"/>
    </row>
    <row r="10">
      <c r="A10" s="26" t="inlineStr">
        <is>
          <t>Poland</t>
        </is>
      </c>
      <c r="B10" s="40" t="n">
        <v>620</v>
      </c>
      <c r="C10" s="40" t="n">
        <v>560</v>
      </c>
      <c r="D10" s="40" t="n">
        <v>680</v>
      </c>
      <c r="E10" s="41" t="n">
        <v>1.6</v>
      </c>
      <c r="F10" s="41" t="n">
        <v>0.8</v>
      </c>
      <c r="G10" s="41" t="n">
        <v>2.4</v>
      </c>
      <c r="H10" s="26" t="inlineStr">
        <is>
          <t>2024</t>
        </is>
      </c>
      <c r="I10" s="26" t="inlineStr">
        <is>
          <t>Ember (2024 data)</t>
        </is>
      </c>
      <c r="J10" s="26" t="inlineStr">
        <is>
          <t>Highest-carbon grid in the EU</t>
        </is>
      </c>
    </row>
    <row r="11">
      <c r="A11" s="26" t="inlineStr">
        <is>
          <t>Sweden</t>
        </is>
      </c>
      <c r="B11" s="40" t="n">
        <v>30</v>
      </c>
      <c r="C11" s="40" t="n">
        <v>15</v>
      </c>
      <c r="D11" s="40" t="n">
        <v>45</v>
      </c>
      <c r="E11" s="41" t="n">
        <v>1.2</v>
      </c>
      <c r="F11" s="41" t="n">
        <v>0.6</v>
      </c>
      <c r="G11" s="41" t="n">
        <v>1.8</v>
      </c>
      <c r="H11" s="26" t="inlineStr">
        <is>
          <t>2024</t>
        </is>
      </c>
      <c r="I11" s="26" t="inlineStr">
        <is>
          <t>Ember (2024 data)</t>
        </is>
      </c>
      <c r="J11" s="26" t="inlineStr">
        <is>
          <t>Hydro + nuclear</t>
        </is>
      </c>
    </row>
    <row r="12">
      <c r="A12" s="26" t="inlineStr">
        <is>
          <t>Norway</t>
        </is>
      </c>
      <c r="B12" s="40" t="n">
        <v>30</v>
      </c>
      <c r="C12" s="40" t="n">
        <v>15</v>
      </c>
      <c r="D12" s="40" t="n">
        <v>45</v>
      </c>
      <c r="E12" s="41" t="n">
        <v>1.1</v>
      </c>
      <c r="F12" s="41" t="n">
        <v>0.5</v>
      </c>
      <c r="G12" s="41" t="n">
        <v>1.7</v>
      </c>
      <c r="H12" s="26" t="inlineStr">
        <is>
          <t>2024</t>
        </is>
      </c>
      <c r="I12" s="26" t="inlineStr">
        <is>
          <t>Ember (2024 data)</t>
        </is>
      </c>
      <c r="J12" s="26" t="inlineStr">
        <is>
          <t>Hydro-dominated; reservoir-evaporation attribution excluded (contested)</t>
        </is>
      </c>
    </row>
    <row r="13">
      <c r="A13" s="26" t="inlineStr">
        <is>
          <t>Canada</t>
        </is>
      </c>
      <c r="B13" s="40" t="n">
        <v>170</v>
      </c>
      <c r="C13" s="40" t="n">
        <v>130</v>
      </c>
      <c r="D13" s="40" t="n">
        <v>210</v>
      </c>
      <c r="E13" s="41" t="n">
        <v>1.5</v>
      </c>
      <c r="F13" s="41" t="n">
        <v>0.8</v>
      </c>
      <c r="G13" s="41" t="n">
        <v>2.3</v>
      </c>
      <c r="H13" s="26" t="inlineStr">
        <is>
          <t>2024</t>
        </is>
      </c>
      <c r="I13" s="26" t="inlineStr">
        <is>
          <t>Ember (2024 data)</t>
        </is>
      </c>
      <c r="J13" s="26" t="inlineStr">
        <is>
          <t>Hydro-heavy provinces far lower than average</t>
        </is>
      </c>
    </row>
    <row r="14">
      <c r="A14" s="26" t="inlineStr">
        <is>
          <t>Brazil</t>
        </is>
      </c>
      <c r="B14" s="40" t="n">
        <v>96</v>
      </c>
      <c r="C14" s="40" t="n">
        <v>70</v>
      </c>
      <c r="D14" s="40" t="n">
        <v>130</v>
      </c>
      <c r="E14" s="41" t="n">
        <v>2.5</v>
      </c>
      <c r="F14" s="41" t="n">
        <v>1.2</v>
      </c>
      <c r="G14" s="41" t="n">
        <v>4</v>
      </c>
      <c r="H14" s="26" t="inlineStr">
        <is>
          <t>2024</t>
        </is>
      </c>
      <c r="I14" s="26" t="inlineStr">
        <is>
          <t>Ember (2024 data)</t>
        </is>
      </c>
      <c r="J14" s="26" t="inlineStr">
        <is>
          <t>Hydro reservoir evaporation attribution excluded (contested; would raise EWIF several-fold)</t>
        </is>
      </c>
    </row>
    <row r="15">
      <c r="A15" s="26" t="inlineStr">
        <is>
          <t>China</t>
        </is>
      </c>
      <c r="B15" s="40" t="n">
        <v>534</v>
      </c>
      <c r="C15" s="40" t="n">
        <v>480</v>
      </c>
      <c r="D15" s="40" t="n">
        <v>590</v>
      </c>
      <c r="E15" s="41" t="n">
        <v>2.2</v>
      </c>
      <c r="F15" s="41" t="n">
        <v>1.1</v>
      </c>
      <c r="G15" s="41" t="n">
        <v>3.3</v>
      </c>
      <c r="H15" s="26" t="inlineStr">
        <is>
          <t>2024</t>
        </is>
      </c>
      <c r="I15" s="26" t="inlineStr">
        <is>
          <t>Ember (2024 data)</t>
        </is>
      </c>
      <c r="J15" s="26" t="inlineStr"/>
    </row>
    <row r="16">
      <c r="A16" s="26" t="inlineStr">
        <is>
          <t>India</t>
        </is>
      </c>
      <c r="B16" s="40" t="n">
        <v>708</v>
      </c>
      <c r="C16" s="40" t="n">
        <v>640</v>
      </c>
      <c r="D16" s="40" t="n">
        <v>780</v>
      </c>
      <c r="E16" s="41" t="n">
        <v>2.6</v>
      </c>
      <c r="F16" s="41" t="n">
        <v>1.3</v>
      </c>
      <c r="G16" s="41" t="n">
        <v>3.9</v>
      </c>
      <c r="H16" s="26" t="inlineStr">
        <is>
          <t>2024</t>
        </is>
      </c>
      <c r="I16" s="26" t="inlineStr">
        <is>
          <t>Ember (2024 data)</t>
        </is>
      </c>
      <c r="J16" s="26" t="inlineStr">
        <is>
          <t>Highest-carbon major grid</t>
        </is>
      </c>
    </row>
    <row r="17">
      <c r="A17" s="26" t="inlineStr">
        <is>
          <t>Japan</t>
        </is>
      </c>
      <c r="B17" s="40" t="n">
        <v>485</v>
      </c>
      <c r="C17" s="40" t="n">
        <v>440</v>
      </c>
      <c r="D17" s="40" t="n">
        <v>530</v>
      </c>
      <c r="E17" s="41" t="n">
        <v>1.9</v>
      </c>
      <c r="F17" s="41" t="n">
        <v>1</v>
      </c>
      <c r="G17" s="41" t="n">
        <v>2.9</v>
      </c>
      <c r="H17" s="26" t="inlineStr">
        <is>
          <t>2024</t>
        </is>
      </c>
      <c r="I17" s="26" t="inlineStr">
        <is>
          <t>Ember (2024 data)</t>
        </is>
      </c>
      <c r="J17" s="26" t="inlineStr"/>
    </row>
    <row r="18">
      <c r="A18" s="26" t="inlineStr">
        <is>
          <t>South Korea</t>
        </is>
      </c>
      <c r="B18" s="40" t="n">
        <v>415</v>
      </c>
      <c r="C18" s="40" t="n">
        <v>370</v>
      </c>
      <c r="D18" s="40" t="n">
        <v>460</v>
      </c>
      <c r="E18" s="41" t="n">
        <v>1.9</v>
      </c>
      <c r="F18" s="41" t="n">
        <v>1</v>
      </c>
      <c r="G18" s="41" t="n">
        <v>2.9</v>
      </c>
      <c r="H18" s="26" t="inlineStr">
        <is>
          <t>2024</t>
        </is>
      </c>
      <c r="I18" s="26" t="inlineStr">
        <is>
          <t>Ember (2024 data)</t>
        </is>
      </c>
      <c r="J18" s="26" t="inlineStr"/>
    </row>
    <row r="19">
      <c r="A19" s="26" t="inlineStr">
        <is>
          <t>Singapore</t>
        </is>
      </c>
      <c r="B19" s="40" t="n">
        <v>470</v>
      </c>
      <c r="C19" s="40" t="n">
        <v>420</v>
      </c>
      <c r="D19" s="40" t="n">
        <v>520</v>
      </c>
      <c r="E19" s="41" t="n">
        <v>1.7</v>
      </c>
      <c r="F19" s="41" t="n">
        <v>0.9</v>
      </c>
      <c r="G19" s="41" t="n">
        <v>2.6</v>
      </c>
      <c r="H19" s="26" t="inlineStr">
        <is>
          <t>2024</t>
        </is>
      </c>
      <c r="I19" s="26" t="inlineStr">
        <is>
          <t>Ember (2024 data)</t>
        </is>
      </c>
      <c r="J19" s="26" t="inlineStr">
        <is>
          <t>Gas-dominated; major APAC data-center hub</t>
        </is>
      </c>
    </row>
    <row r="20">
      <c r="A20" s="26" t="inlineStr">
        <is>
          <t>Australia</t>
        </is>
      </c>
      <c r="B20" s="40" t="n">
        <v>549</v>
      </c>
      <c r="C20" s="40" t="n">
        <v>490</v>
      </c>
      <c r="D20" s="40" t="n">
        <v>610</v>
      </c>
      <c r="E20" s="41" t="n">
        <v>2.3</v>
      </c>
      <c r="F20" s="41" t="n">
        <v>1.2</v>
      </c>
      <c r="G20" s="41" t="n">
        <v>3.5</v>
      </c>
      <c r="H20" s="26" t="inlineStr">
        <is>
          <t>2024</t>
        </is>
      </c>
      <c r="I20" s="26" t="inlineStr">
        <is>
          <t>Ember (2024 data)</t>
        </is>
      </c>
      <c r="J20" s="26" t="inlineStr"/>
    </row>
    <row r="21">
      <c r="A21" s="26" t="inlineStr">
        <is>
          <t>United Arab Emirates</t>
        </is>
      </c>
      <c r="B21" s="40" t="n">
        <v>430</v>
      </c>
      <c r="C21" s="40" t="n">
        <v>380</v>
      </c>
      <c r="D21" s="40" t="n">
        <v>490</v>
      </c>
      <c r="E21" s="41" t="n">
        <v>1.5</v>
      </c>
      <c r="F21" s="41" t="n">
        <v>0.8</v>
      </c>
      <c r="G21" s="41" t="n">
        <v>2.3</v>
      </c>
      <c r="H21" s="26" t="inlineStr">
        <is>
          <t>2024</t>
        </is>
      </c>
      <c r="I21" s="26" t="inlineStr">
        <is>
          <t>Ember (2024 data)</t>
        </is>
      </c>
      <c r="J21" s="26" t="inlineStr">
        <is>
          <t>Gas + growing solar/nuclear</t>
        </is>
      </c>
    </row>
    <row r="23">
      <c r="A23" s="28" t="inlineStr">
        <is>
          <t>CI = location-based grid carbon intensity (annual average). EWIF = off-site electricity-water intensity factor. Source of truth: data/regions.csv.</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30" customWidth="1" min="1" max="1"/>
    <col width="8" customWidth="1" min="2" max="2"/>
    <col width="9" customWidth="1" min="3" max="3"/>
    <col width="9" customWidth="1" min="4" max="4"/>
    <col width="11" customWidth="1" min="5" max="5"/>
    <col width="9" customWidth="1" min="6" max="6"/>
    <col width="9" customWidth="1" min="7" max="7"/>
    <col width="70" customWidth="1" min="8" max="8"/>
    <col width="45" customWidth="1" min="9" max="9"/>
  </cols>
  <sheetData>
    <row r="1">
      <c r="A1" s="16" t="inlineStr">
        <is>
          <t>Facility profile</t>
        </is>
      </c>
      <c r="B1" s="16" t="inlineStr">
        <is>
          <t>PUE</t>
        </is>
      </c>
      <c r="C1" s="16" t="inlineStr">
        <is>
          <t>PUE low</t>
        </is>
      </c>
      <c r="D1" s="16" t="inlineStr">
        <is>
          <t>PUE high</t>
        </is>
      </c>
      <c r="E1" s="16" t="inlineStr">
        <is>
          <t>WUE (L/kWh)</t>
        </is>
      </c>
      <c r="F1" s="16" t="inlineStr">
        <is>
          <t>WUE low</t>
        </is>
      </c>
      <c r="G1" s="16" t="inlineStr">
        <is>
          <t>WUE high</t>
        </is>
      </c>
      <c r="H1" s="16" t="inlineStr">
        <is>
          <t>Source</t>
        </is>
      </c>
      <c r="I1" s="16" t="inlineStr">
        <is>
          <t>Notes</t>
        </is>
      </c>
    </row>
    <row r="2">
      <c r="A2" s="26" t="inlineStr">
        <is>
          <t>Hyperscale (best-in-class)</t>
        </is>
      </c>
      <c r="B2" s="42" t="n">
        <v>1.09</v>
      </c>
      <c r="C2" s="42" t="n">
        <v>1.06</v>
      </c>
      <c r="D2" s="42" t="n">
        <v>1.15</v>
      </c>
      <c r="E2" s="42" t="n">
        <v>0.25</v>
      </c>
      <c r="F2" s="42" t="n">
        <v>0.1</v>
      </c>
      <c r="G2" s="42" t="n">
        <v>0.5</v>
      </c>
      <c r="H2" s="26" t="inlineStr">
        <is>
          <t>Google fleet trailing-twelve-month PUE 1.09-1.10; Meta fleet PUE ~1.09 / WUE ~0.20; operator sustainability reports</t>
        </is>
      </c>
      <c r="I2" s="26" t="inlineStr">
        <is>
          <t>Leading dedicated AI fleets; air/advanced cooling</t>
        </is>
      </c>
    </row>
    <row r="3">
      <c r="A3" s="26" t="inlineStr">
        <is>
          <t>Hyperscale cloud (typical)</t>
        </is>
      </c>
      <c r="B3" s="42" t="n">
        <v>1.15</v>
      </c>
      <c r="C3" s="42" t="n">
        <v>1.1</v>
      </c>
      <c r="D3" s="42" t="n">
        <v>1.3</v>
      </c>
      <c r="E3" s="42" t="n">
        <v>1</v>
      </c>
      <c r="F3" s="42" t="n">
        <v>0.4</v>
      </c>
      <c r="G3" s="42" t="n">
        <v>1.8</v>
      </c>
      <c r="H3" s="26" t="inlineStr">
        <is>
          <t>Operator sustainability reports: Google fleet WUE ~1.0 L/kWh (2024); Microsoft design PUE 1.12 / WUE 0.49; AWS PUE ~1.15</t>
        </is>
      </c>
      <c r="I3" s="26" t="inlineStr">
        <is>
          <t>Most commercial API serving lands here</t>
        </is>
      </c>
    </row>
    <row r="4">
      <c r="A4" s="26" t="inlineStr">
        <is>
          <t>Colocation / enterprise (typical)</t>
        </is>
      </c>
      <c r="B4" s="42" t="n">
        <v>1.54</v>
      </c>
      <c r="C4" s="42" t="n">
        <v>1.35</v>
      </c>
      <c r="D4" s="42" t="n">
        <v>1.8</v>
      </c>
      <c r="E4" s="42" t="n">
        <v>1.8</v>
      </c>
      <c r="F4" s="42" t="n">
        <v>0.5</v>
      </c>
      <c r="G4" s="42" t="n">
        <v>2.5</v>
      </c>
      <c r="H4" s="26" t="inlineStr">
        <is>
          <t>Uptime Institute Global Data Center Survey 2025: industry average PUE 1.54 (stable six years)</t>
        </is>
      </c>
      <c r="I4" s="26" t="inlineStr">
        <is>
          <t>Typical rented rack / mid-size DC</t>
        </is>
      </c>
    </row>
    <row r="5">
      <c r="A5" s="26" t="inlineStr">
        <is>
          <t>On-premises (legacy)</t>
        </is>
      </c>
      <c r="B5" s="42" t="n">
        <v>1.8</v>
      </c>
      <c r="C5" s="42" t="n">
        <v>1.5</v>
      </c>
      <c r="D5" s="42" t="n">
        <v>2.5</v>
      </c>
      <c r="E5" s="42" t="n">
        <v>1.8</v>
      </c>
      <c r="F5" s="42" t="n">
        <v>0.5</v>
      </c>
      <c r="G5" s="42" t="n">
        <v>3</v>
      </c>
      <c r="H5" s="26" t="inlineStr">
        <is>
          <t>Uptime Institute survey distributions (older, smaller facilities)</t>
        </is>
      </c>
      <c r="I5" s="26" t="inlineStr">
        <is>
          <t>Small server rooms often exceed PUE 2.0</t>
        </is>
      </c>
    </row>
    <row r="6">
      <c r="A6" s="26" t="inlineStr">
        <is>
          <t>Unknown (API default)</t>
        </is>
      </c>
      <c r="B6" s="42" t="n">
        <v>1.2</v>
      </c>
      <c r="C6" s="42" t="n">
        <v>1.09</v>
      </c>
      <c r="D6" s="42" t="n">
        <v>1.54</v>
      </c>
      <c r="E6" s="42" t="n">
        <v>1</v>
      </c>
      <c r="F6" s="42" t="n">
        <v>0.2</v>
      </c>
      <c r="G6" s="42" t="n">
        <v>1.8</v>
      </c>
      <c r="H6" s="26" t="inlineStr">
        <is>
          <t>Weighted assumption: most commercial LLM serving runs in hyperscale facilities</t>
        </is>
      </c>
      <c r="I6" s="26" t="inlineStr">
        <is>
          <t>Default when the facility is unknown</t>
        </is>
      </c>
    </row>
    <row r="8">
      <c r="A8" s="28" t="inlineStr">
        <is>
          <t>PUE multiplies IT energy into total facility energy. WUE is on-site cooling water per kWh of IT energy. Source of truth: data/facilities.csv.</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18" customWidth="1" min="1" max="1"/>
    <col width="7" customWidth="1" min="2" max="2"/>
    <col width="13" customWidth="1" min="3" max="3"/>
    <col width="13" customWidth="1" min="4" max="4"/>
    <col width="10" customWidth="1" min="5" max="5"/>
    <col width="10" customWidth="1" min="6" max="6"/>
    <col width="10" customWidth="1" min="7" max="7"/>
    <col width="10" customWidth="1" min="8" max="8"/>
    <col width="10" customWidth="1" min="9" max="9"/>
    <col width="60" customWidth="1" min="10" max="10"/>
  </cols>
  <sheetData>
    <row r="1">
      <c r="A1" s="16" t="inlineStr">
        <is>
          <t>Task class</t>
        </is>
      </c>
      <c r="B1" s="16" t="inlineStr">
        <is>
          <t>Code</t>
        </is>
      </c>
      <c r="C1" s="16" t="inlineStr">
        <is>
          <t>Default tokens in</t>
        </is>
      </c>
      <c r="D1" s="16" t="inlineStr">
        <is>
          <t>Default tokens out</t>
        </is>
      </c>
      <c r="E1" s="16" t="inlineStr">
        <is>
          <t>A ≤ (Wh)</t>
        </is>
      </c>
      <c r="F1" s="16" t="inlineStr">
        <is>
          <t>B ≤ (Wh)</t>
        </is>
      </c>
      <c r="G1" s="16" t="inlineStr">
        <is>
          <t>C ≤ (Wh)</t>
        </is>
      </c>
      <c r="H1" s="16" t="inlineStr">
        <is>
          <t>D ≤ (Wh)</t>
        </is>
      </c>
      <c r="I1" s="16" t="inlineStr">
        <is>
          <t>E &gt; (Wh)</t>
        </is>
      </c>
      <c r="J1" s="16" t="inlineStr">
        <is>
          <t>Description</t>
        </is>
      </c>
    </row>
    <row r="2">
      <c r="A2" s="26" t="inlineStr">
        <is>
          <t>Light</t>
        </is>
      </c>
      <c r="B2" s="26" t="inlineStr">
        <is>
          <t>L</t>
        </is>
      </c>
      <c r="C2" s="43" t="n">
        <v>300</v>
      </c>
      <c r="D2" s="43" t="n">
        <v>80</v>
      </c>
      <c r="E2" s="44" t="n">
        <v>0.1</v>
      </c>
      <c r="F2" s="45" t="n">
        <v>0.3</v>
      </c>
      <c r="G2" s="46" t="n">
        <v>1</v>
      </c>
      <c r="H2" s="47" t="n">
        <v>3</v>
      </c>
      <c r="I2" s="48" t="n">
        <v>3</v>
      </c>
      <c r="J2" s="26" t="inlineStr">
        <is>
          <t>Classification, extraction, short chat, autocomplete</t>
        </is>
      </c>
    </row>
    <row r="3">
      <c r="A3" s="26" t="inlineStr">
        <is>
          <t>Standard</t>
        </is>
      </c>
      <c r="B3" s="26" t="inlineStr">
        <is>
          <t>S</t>
        </is>
      </c>
      <c r="C3" s="43" t="n">
        <v>500</v>
      </c>
      <c r="D3" s="43" t="n">
        <v>300</v>
      </c>
      <c r="E3" s="44" t="n">
        <v>0.3</v>
      </c>
      <c r="F3" s="45" t="n">
        <v>1</v>
      </c>
      <c r="G3" s="46" t="n">
        <v>3</v>
      </c>
      <c r="H3" s="47" t="n">
        <v>10</v>
      </c>
      <c r="I3" s="48" t="n">
        <v>10</v>
      </c>
      <c r="J3" s="26" t="inlineStr">
        <is>
          <t>General assistant use, summarization, translation</t>
        </is>
      </c>
    </row>
    <row r="4">
      <c r="A4" s="26" t="inlineStr">
        <is>
          <t>Heavy</t>
        </is>
      </c>
      <c r="B4" s="26" t="inlineStr">
        <is>
          <t>H</t>
        </is>
      </c>
      <c r="C4" s="43" t="n">
        <v>2000</v>
      </c>
      <c r="D4" s="43" t="n">
        <v>1000</v>
      </c>
      <c r="E4" s="44" t="n">
        <v>1</v>
      </c>
      <c r="F4" s="45" t="n">
        <v>3</v>
      </c>
      <c r="G4" s="46" t="n">
        <v>10</v>
      </c>
      <c r="H4" s="47" t="n">
        <v>30</v>
      </c>
      <c r="I4" s="48" t="n">
        <v>30</v>
      </c>
      <c r="J4" s="26" t="inlineStr">
        <is>
          <t>Long-form generation, RAG over large contexts, code generation</t>
        </is>
      </c>
    </row>
    <row r="5">
      <c r="A5" s="26" t="inlineStr">
        <is>
          <t>Reasoning/agentic</t>
        </is>
      </c>
      <c r="B5" s="26" t="inlineStr">
        <is>
          <t>R</t>
        </is>
      </c>
      <c r="C5" s="43" t="n">
        <v>2000</v>
      </c>
      <c r="D5" s="43" t="n">
        <v>4000</v>
      </c>
      <c r="E5" s="44" t="n">
        <v>3</v>
      </c>
      <c r="F5" s="45" t="n">
        <v>10</v>
      </c>
      <c r="G5" s="46" t="n">
        <v>30</v>
      </c>
      <c r="H5" s="47" t="n">
        <v>100</v>
      </c>
      <c r="I5" s="48" t="n">
        <v>100</v>
      </c>
      <c r="J5" s="26" t="inlineStr">
        <is>
          <t>Extended thinking, multi-step agents, deep research (incl. hidden reasoning tokens)</t>
        </is>
      </c>
    </row>
    <row r="7">
      <c r="A7" s="49" t="inlineStr">
        <is>
          <t>How the bands work (§5.2)</t>
        </is>
      </c>
    </row>
    <row r="8">
      <c r="A8" s="12" t="inlineStr">
        <is>
          <t>Grades are assigned on CENTRAL-estimate energy per request (full-stack Wh) against FIXED, LOGARITHMIC (~×3 spacing), TASK-CONDITIONED bands.</t>
        </is>
      </c>
    </row>
    <row r="9">
      <c r="A9" s="12" t="inlineStr">
        <is>
          <t>Fixed absolute bands — rather than percentile ranks — keep grades stable over time and auditable; the ~×3 spacing reflects the order-of-magnitude spreads observed in every benchmark study.</t>
        </is>
      </c>
    </row>
    <row r="10">
      <c r="A10" s="12" t="inlineStr">
        <is>
          <t>Anchors: provider-disclosed medians (0.24–0.34 Wh/request) anchor grade A/B for class S; reasoning models measured at &gt;30 Wh/request (Jegham et al.; AI Energy Score v2: reasoning ≈ 30× standard) anchor grade E.</t>
        </is>
      </c>
    </row>
    <row r="11">
      <c r="A11" s="12" t="inlineStr">
        <is>
          <t>Requests are graded WITHIN their task class — comparing a reasoning-agent workload to an autocomplete query is meaningless.</t>
        </is>
      </c>
    </row>
    <row r="12">
      <c r="A12" s="12" t="inlineStr">
        <is>
          <t>Carbon and water are REPORTED, not graded: they are dominated by region and facility (P3), which model choice cannot fix.</t>
        </is>
      </c>
    </row>
    <row r="13">
      <c r="A13" s="12" t="inlineStr">
        <is>
          <t>Source of truth: data/grading.csv.</t>
        </is>
      </c>
    </row>
  </sheetData>
  <mergeCells count="6">
    <mergeCell ref="A8:J8"/>
    <mergeCell ref="A9:J9"/>
    <mergeCell ref="A12:J12"/>
    <mergeCell ref="A10:J10"/>
    <mergeCell ref="A13:J13"/>
    <mergeCell ref="A11:J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14" customWidth="1" min="3" max="3"/>
    <col width="60" customWidth="1" min="4" max="4"/>
    <col width="55" customWidth="1" min="5" max="5"/>
  </cols>
  <sheetData>
    <row r="1">
      <c r="A1" s="16" t="inlineStr">
        <is>
          <t>Rank</t>
        </is>
      </c>
      <c r="B1" s="16" t="inlineStr">
        <is>
          <t>Lever</t>
        </is>
      </c>
      <c r="C1" s="16" t="inlineStr">
        <is>
          <t>Who controls it</t>
        </is>
      </c>
      <c r="D1" s="16" t="inlineStr">
        <is>
          <t>Measured effect</t>
        </is>
      </c>
      <c r="E1" s="16" t="inlineStr">
        <is>
          <t>Evidence</t>
        </is>
      </c>
    </row>
    <row r="2">
      <c r="A2" s="43" t="n">
        <v>1</v>
      </c>
      <c r="B2" s="26" t="inlineStr">
        <is>
          <t>Right-size the model (route each task to the smallest adequate model)</t>
        </is>
      </c>
      <c r="C2" s="26" t="inlineStr">
        <is>
          <t>User</t>
        </is>
      </c>
      <c r="D2" s="26" t="inlineStr">
        <is>
          <t>10-70x energy difference between frontier-reasoning and small efficient models on identical prompts</t>
        </is>
      </c>
      <c r="E2" s="26" t="inlineStr">
        <is>
          <t>Jegham et al. arXiv:2505.09598 (o3 vs GPT-4.1 nano &gt;70x); AI Energy Score leaderboard spreads</t>
        </is>
      </c>
    </row>
    <row r="3">
      <c r="A3" s="43" t="n">
        <v>2</v>
      </c>
      <c r="B3" s="26" t="inlineStr">
        <is>
          <t>Cap reasoning/thinking budgets on bounded tasks</t>
        </is>
      </c>
      <c r="C3" s="26" t="inlineStr">
        <is>
          <t>User</t>
        </is>
      </c>
      <c r="D3" s="26" t="inlineStr">
        <is>
          <t>Reasoning modes average ~30x the energy of standard generation; explicit budgets recover most of it</t>
        </is>
      </c>
      <c r="E3" s="26" t="inlineStr">
        <is>
          <t>AI Energy Score v2 (2025); Jegham et al. arXiv:2505.09598 (o3: 21.4 Wh/medium, &gt;33 Wh/long prompt)</t>
        </is>
      </c>
    </row>
    <row r="4">
      <c r="A4" s="43" t="n">
        <v>3</v>
      </c>
      <c r="B4" s="26" t="inlineStr">
        <is>
          <t>Choose low-carbon hosting regions</t>
        </is>
      </c>
      <c r="C4" s="26" t="inlineStr">
        <is>
          <t>User/Provider</t>
        </is>
      </c>
      <c r="D4" s="26" t="inlineStr">
        <is>
          <t>Grid carbon intensity spans ~20x across the regions in this table (30-40 gCO2e/kWh hydro/nuclear grids vs 600-750 coal-heavy)</t>
        </is>
      </c>
      <c r="E4" s="26" t="inlineStr">
        <is>
          <t>Ember Global Electricity Review (2024 data); data/regions.csv</t>
        </is>
      </c>
    </row>
    <row r="5">
      <c r="A5" s="43" t="n">
        <v>4</v>
      </c>
      <c r="B5" s="26" t="inlineStr">
        <is>
          <t>Bound output length; prompt and token discipline</t>
        </is>
      </c>
      <c r="C5" s="26" t="inlineStr">
        <is>
          <t>User</t>
        </is>
      </c>
      <c r="D5" s="26" t="inlineStr">
        <is>
          <t>Per-request energy is approximately linear in output tokens; halving median output roughly halves energy</t>
        </is>
      </c>
      <c r="E5" s="26" t="inlineStr">
        <is>
          <t>Physics of autoregressive decoding; Luccioni et al. FAccT 2024</t>
        </is>
      </c>
    </row>
    <row r="6">
      <c r="A6" s="43" t="n">
        <v>5</v>
      </c>
      <c r="B6" s="26" t="inlineStr">
        <is>
          <t>Cache repeated context and responses</t>
        </is>
      </c>
      <c r="C6" s="26" t="inlineStr">
        <is>
          <t>User</t>
        </is>
      </c>
      <c r="D6" s="26" t="inlineStr">
        <is>
          <t>Removes prefill recomputation for cached input tokens; the saving equals your measured hit rate applied to the input share of the request (§4.1)</t>
        </is>
      </c>
      <c r="E6" s="26" t="inlineStr">
        <is>
          <t>Provider prompt-caching documentation; modelled explicitly in GAIA's cached-input term</t>
        </is>
      </c>
    </row>
    <row r="7">
      <c r="A7" s="43" t="n">
        <v>6</v>
      </c>
      <c r="B7" s="26" t="inlineStr">
        <is>
          <t>Prefer sparse (mixture-of-experts) serving at equal capability</t>
        </is>
      </c>
      <c r="C7" s="26" t="inlineStr">
        <is>
          <t>User/Provider</t>
        </is>
      </c>
      <c r="D7" s="26" t="inlineStr">
        <is>
          <t>Per-token energy scales with ACTIVE, not total, parameters: current frontier open-weight models activate 13-104B of 0.3-2.8T, serving at a fraction of a dense model of the same total size</t>
        </is>
      </c>
      <c r="E7" s="26" t="inlineStr">
        <is>
          <t>FRAMEWORK.md 4.5 Tier-4 model; published active-parameter counts in data/models.csv</t>
        </is>
      </c>
    </row>
    <row r="8">
      <c r="A8" s="43" t="n">
        <v>7</v>
      </c>
      <c r="B8" s="26" t="inlineStr">
        <is>
          <t>Batch requests / schedule flexible jobs off-peak</t>
        </is>
      </c>
      <c r="C8" s="26" t="inlineStr">
        <is>
          <t>User</t>
        </is>
      </c>
      <c r="D8" s="26" t="inlineStr">
        <is>
          <t>Improves serving utilisation; single-digit to low-double-digit % energy; larger carbon effect via diurnal grid variation</t>
        </is>
      </c>
      <c r="E8" s="26" t="inlineStr">
        <is>
          <t>Serving-systems literature; grid CI diurnal data</t>
        </is>
      </c>
    </row>
    <row r="9">
      <c r="A9" s="43" t="n">
        <v>8</v>
      </c>
      <c r="B9" s="26" t="inlineStr">
        <is>
          <t>Meter an open-weight deployment (move the row from T4 to T1)</t>
        </is>
      </c>
      <c r="C9" s="26" t="inlineStr">
        <is>
          <t>User</t>
        </is>
      </c>
      <c r="D9" s="26" t="inlineStr">
        <is>
          <t>Does not reduce energy: it reduces UNCERTAINTY, from a modelled x/divide-3 band to a measured x/divide-1.15 band — roughly a fourfold narrowing, achievable in an afternoon</t>
        </is>
      </c>
      <c r="E9" s="26" t="inlineStr">
        <is>
          <t>GAIA principles P1/P2 and 4.8; CodeCarbon / nvidia-smi plus host power</t>
        </is>
      </c>
    </row>
    <row r="10">
      <c r="A10" s="43" t="n">
        <v>9</v>
      </c>
      <c r="B10" s="26" t="inlineStr">
        <is>
          <t>Prefer providers that disclose measured footprints</t>
        </is>
      </c>
      <c r="C10" s="26" t="inlineStr">
        <is>
          <t>User</t>
        </is>
      </c>
      <c r="D10" s="26" t="inlineStr">
        <is>
          <t>Converts Tier-4 guesses into Tier-2 data (halves the interval) and creates market pressure for transparency; only two providers currently publish full-stack or audited figures</t>
        </is>
      </c>
      <c r="E10" s="26" t="inlineStr">
        <is>
          <t>Google arXiv:2508.15734; Mistral AI environmental report (2025); GAIA principle P1</t>
        </is>
      </c>
    </row>
    <row r="11">
      <c r="A11" s="43" t="n">
        <v>10</v>
      </c>
      <c r="B11" s="26" t="inlineStr">
        <is>
          <t>Adopt newer accelerator generations</t>
        </is>
      </c>
      <c r="C11" s="26" t="inlineStr">
        <is>
          <t>Provider</t>
        </is>
      </c>
      <c r="D11" s="26" t="inlineStr">
        <is>
          <t>~24% lower embodied carbon per FLOP (B200 vs H100) and higher FLOPs/J in serving; a disclosure ask for vendor management, not a user action</t>
        </is>
      </c>
      <c r="E11" s="26" t="inlineStr">
        <is>
          <t>NVIDIA HGX embodied-carbon disclosures</t>
        </is>
      </c>
    </row>
    <row r="13">
      <c r="B13" s="12" t="inlineStr">
        <is>
          <t>Evidence-ranked levers: every effect size is a measured number with a citation — 'up to' marketing numbers are banned (§6). Provider-side levers (PUE, clean-power procurement, WUE) belong in vendor management as disclosure asks, not user actions. Source of truth: data/mitigation.csv.</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B1:G33"/>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 customWidth="1" min="1" max="1"/>
    <col width="40" customWidth="1" min="2" max="2"/>
    <col width="22" customWidth="1" min="3" max="3"/>
    <col width="22" customWidth="1" min="4" max="4"/>
    <col width="22" customWidth="1" min="5" max="5"/>
    <col width="22" customWidth="1" min="6" max="6"/>
    <col width="44" customWidth="1" min="7" max="7"/>
  </cols>
  <sheetData>
    <row r="1">
      <c r="B1" s="7" t="inlineStr">
        <is>
          <t>Scenario Compare — four options, one workload</t>
        </is>
      </c>
    </row>
    <row r="2">
      <c r="B2" s="2" t="inlineStr">
        <is>
          <t>Edit the yellow cells. Every column runs the same §4 equations as the Assessment sheet. Column C is the baseline; D–F report their difference against it.</t>
        </is>
      </c>
    </row>
    <row r="4">
      <c r="B4" s="16" t="inlineStr">
        <is>
          <t>Row</t>
        </is>
      </c>
      <c r="C4" s="16" t="inlineStr">
        <is>
          <t>Baseline</t>
        </is>
      </c>
      <c r="D4" s="16" t="inlineStr">
        <is>
          <t>Option B</t>
        </is>
      </c>
      <c r="E4" s="16" t="inlineStr">
        <is>
          <t>Option C</t>
        </is>
      </c>
      <c r="F4" s="16" t="inlineStr">
        <is>
          <t>Option D</t>
        </is>
      </c>
      <c r="G4" s="16" t="inlineStr">
        <is>
          <t>Notes</t>
        </is>
      </c>
    </row>
    <row r="5">
      <c r="B5" s="10" t="inlineStr">
        <is>
          <t>1 · Model</t>
        </is>
      </c>
      <c r="C5" s="50" t="inlineStr">
        <is>
          <t>GPT-6 Astra</t>
        </is>
      </c>
      <c r="D5" s="50" t="inlineStr">
        <is>
          <t>Llama 3.2 1B</t>
        </is>
      </c>
      <c r="E5" s="50" t="inlineStr">
        <is>
          <t>GPT-6 Astra</t>
        </is>
      </c>
      <c r="F5" s="50" t="inlineStr">
        <is>
          <t>Llama 3.2 1B</t>
        </is>
      </c>
      <c r="G5" s="18" t="inlineStr">
        <is>
          <t>Dropdown — provenance in 'Model Database'</t>
        </is>
      </c>
    </row>
    <row r="6">
      <c r="B6" s="10" t="inlineStr">
        <is>
          <t>2 · Task class</t>
        </is>
      </c>
      <c r="C6" s="50" t="inlineStr">
        <is>
          <t>Standard</t>
        </is>
      </c>
      <c r="D6" s="50" t="inlineStr">
        <is>
          <t>Standard</t>
        </is>
      </c>
      <c r="E6" s="50" t="inlineStr">
        <is>
          <t>Standard</t>
        </is>
      </c>
      <c r="F6" s="50" t="inlineStr">
        <is>
          <t>Standard</t>
        </is>
      </c>
      <c r="G6" s="18" t="inlineStr">
        <is>
          <t>Sets the grade bands used in row 26</t>
        </is>
      </c>
    </row>
    <row r="7">
      <c r="B7" s="10" t="inlineStr">
        <is>
          <t>3 · Tokens in / request</t>
        </is>
      </c>
      <c r="C7" s="51" t="n">
        <v>500</v>
      </c>
      <c r="D7" s="51" t="n">
        <v>500</v>
      </c>
      <c r="E7" s="51" t="n">
        <v>500</v>
      </c>
      <c r="F7" s="51" t="n">
        <v>500</v>
      </c>
    </row>
    <row r="8">
      <c r="B8" s="10" t="inlineStr">
        <is>
          <t>4 · Tokens out / request</t>
        </is>
      </c>
      <c r="C8" s="51" t="n">
        <v>300</v>
      </c>
      <c r="D8" s="51" t="n">
        <v>300</v>
      </c>
      <c r="E8" s="51" t="n">
        <v>300</v>
      </c>
      <c r="F8" s="51" t="n">
        <v>300</v>
      </c>
    </row>
    <row r="9">
      <c r="B9" s="10" t="inlineStr">
        <is>
          <t>5 · Requests / month</t>
        </is>
      </c>
      <c r="C9" s="51" t="n">
        <v>10000</v>
      </c>
      <c r="D9" s="51" t="n">
        <v>10000</v>
      </c>
      <c r="E9" s="51" t="n">
        <v>10000</v>
      </c>
      <c r="F9" s="51" t="n">
        <v>10000</v>
      </c>
    </row>
    <row r="10">
      <c r="B10" s="10" t="inlineStr">
        <is>
          <t>6 · Facility profile</t>
        </is>
      </c>
      <c r="C10" s="50" t="inlineStr">
        <is>
          <t>Unknown (API default)</t>
        </is>
      </c>
      <c r="D10" s="50" t="inlineStr">
        <is>
          <t>Unknown (API default)</t>
        </is>
      </c>
      <c r="E10" s="50" t="inlineStr">
        <is>
          <t>Hyperscale (best-in-class)</t>
        </is>
      </c>
      <c r="F10" s="50" t="inlineStr">
        <is>
          <t>Hyperscale (best-in-class)</t>
        </is>
      </c>
    </row>
    <row r="11">
      <c r="B11" s="10" t="inlineStr">
        <is>
          <t>7 · Hosting region</t>
        </is>
      </c>
      <c r="C11" s="50" t="inlineStr">
        <is>
          <t>Global average</t>
        </is>
      </c>
      <c r="D11" s="50" t="inlineStr">
        <is>
          <t>Global average</t>
        </is>
      </c>
      <c r="E11" s="50" t="inlineStr">
        <is>
          <t>Sweden</t>
        </is>
      </c>
      <c r="F11" s="50" t="inlineStr">
        <is>
          <t>Sweden</t>
        </is>
      </c>
    </row>
    <row r="12">
      <c r="B12" s="10" t="inlineStr">
        <is>
          <t>8 · Cached input share (0–1)</t>
        </is>
      </c>
      <c r="C12" s="52" t="n">
        <v>0</v>
      </c>
      <c r="D12" s="52" t="n">
        <v>0</v>
      </c>
      <c r="E12" s="52" t="n">
        <v>0</v>
      </c>
      <c r="F12" s="52" t="n">
        <v>0</v>
      </c>
      <c r="G12" s="18" t="inlineStr">
        <is>
          <t>Cache hits skip prefill (§4.1)</t>
        </is>
      </c>
    </row>
    <row r="13">
      <c r="B13" s="10" t="inlineStr">
        <is>
          <t>9 · Embodied adder</t>
        </is>
      </c>
      <c r="C13" s="52" t="n">
        <v>0.25</v>
      </c>
      <c r="D13" s="52" t="n">
        <v>0.25</v>
      </c>
      <c r="E13" s="52" t="n">
        <v>0.25</v>
      </c>
      <c r="F13" s="52" t="n">
        <v>0.25</v>
      </c>
      <c r="G13" s="18" t="inlineStr">
        <is>
          <t>Default 0.25; range 0.10–0.50 (§4.6)</t>
        </is>
      </c>
    </row>
    <row r="15">
      <c r="B15" s="8" t="inlineStr">
        <is>
          <t>LOOKED-UP FACTORS (INDEX/MATCH against the data sheets)</t>
        </is>
      </c>
      <c r="C15" s="9" t="n"/>
      <c r="D15" s="9" t="n"/>
      <c r="E15" s="9" t="n"/>
      <c r="F15" s="9" t="n"/>
    </row>
    <row r="16">
      <c r="B16" s="26" t="inlineStr">
        <is>
          <t>e_out — Wh / 1k output tokens</t>
        </is>
      </c>
      <c r="C16" s="53">
        <f>IFERROR(INDEX('Model Database'!$L$2:$L$136,MATCH(C5,'Model Database'!$A$2:$A$136,0)),"")</f>
        <v/>
      </c>
      <c r="D16" s="53">
        <f>IFERROR(INDEX('Model Database'!$L$2:$L$136,MATCH(D5,'Model Database'!$A$2:$A$136,0)),"")</f>
        <v/>
      </c>
      <c r="E16" s="53">
        <f>IFERROR(INDEX('Model Database'!$L$2:$L$136,MATCH(E5,'Model Database'!$A$2:$A$136,0)),"")</f>
        <v/>
      </c>
      <c r="F16" s="53">
        <f>IFERROR(INDEX('Model Database'!$L$2:$L$136,MATCH(F5,'Model Database'!$A$2:$A$136,0)),"")</f>
        <v/>
      </c>
      <c r="G16" s="18" t="inlineStr">
        <is>
          <t>models.csv, IT boundary</t>
        </is>
      </c>
    </row>
    <row r="17">
      <c r="B17" s="26" t="inlineStr">
        <is>
          <t>Data tier</t>
        </is>
      </c>
      <c r="C17" s="54">
        <f>IFERROR(INDEX('Model Database'!$O$2:$O$136,MATCH(C5,'Model Database'!$A$2:$A$136,0)),"")</f>
        <v/>
      </c>
      <c r="D17" s="54">
        <f>IFERROR(INDEX('Model Database'!$O$2:$O$136,MATCH(D5,'Model Database'!$A$2:$A$136,0)),"")</f>
        <v/>
      </c>
      <c r="E17" s="54">
        <f>IFERROR(INDEX('Model Database'!$O$2:$O$136,MATCH(E5,'Model Database'!$A$2:$A$136,0)),"")</f>
        <v/>
      </c>
      <c r="F17" s="54">
        <f>IFERROR(INDEX('Model Database'!$O$2:$O$136,MATCH(F5,'Model Database'!$A$2:$A$136,0)),"")</f>
        <v/>
      </c>
      <c r="G17" s="18" t="inlineStr">
        <is>
          <t>T1 measured … T4 modelled</t>
        </is>
      </c>
    </row>
    <row r="18">
      <c r="B18" s="26" t="inlineStr">
        <is>
          <t>PUE</t>
        </is>
      </c>
      <c r="C18" s="55">
        <f>IFERROR(INDEX('Facility Profiles'!$B$2:$B$6,MATCH(C10,'Facility Profiles'!$A$2:$A$6,0)),"")</f>
        <v/>
      </c>
      <c r="D18" s="55">
        <f>IFERROR(INDEX('Facility Profiles'!$B$2:$B$6,MATCH(D10,'Facility Profiles'!$A$2:$A$6,0)),"")</f>
        <v/>
      </c>
      <c r="E18" s="55">
        <f>IFERROR(INDEX('Facility Profiles'!$B$2:$B$6,MATCH(E10,'Facility Profiles'!$A$2:$A$6,0)),"")</f>
        <v/>
      </c>
      <c r="F18" s="55">
        <f>IFERROR(INDEX('Facility Profiles'!$B$2:$B$6,MATCH(F10,'Facility Profiles'!$A$2:$A$6,0)),"")</f>
        <v/>
      </c>
      <c r="G18" s="18" t="inlineStr">
        <is>
          <t>facilities.csv</t>
        </is>
      </c>
    </row>
    <row r="19">
      <c r="B19" s="26" t="inlineStr">
        <is>
          <t>WUE (L/kWh IT)</t>
        </is>
      </c>
      <c r="C19" s="55">
        <f>IFERROR(INDEX('Facility Profiles'!$E$2:$E$6,MATCH(C10,'Facility Profiles'!$A$2:$A$6,0)),"")</f>
        <v/>
      </c>
      <c r="D19" s="55">
        <f>IFERROR(INDEX('Facility Profiles'!$E$2:$E$6,MATCH(D10,'Facility Profiles'!$A$2:$A$6,0)),"")</f>
        <v/>
      </c>
      <c r="E19" s="55">
        <f>IFERROR(INDEX('Facility Profiles'!$E$2:$E$6,MATCH(E10,'Facility Profiles'!$A$2:$A$6,0)),"")</f>
        <v/>
      </c>
      <c r="F19" s="55">
        <f>IFERROR(INDEX('Facility Profiles'!$E$2:$E$6,MATCH(F10,'Facility Profiles'!$A$2:$A$6,0)),"")</f>
        <v/>
      </c>
      <c r="G19" s="18" t="inlineStr">
        <is>
          <t>facilities.csv</t>
        </is>
      </c>
    </row>
    <row r="20">
      <c r="B20" s="26" t="inlineStr">
        <is>
          <t>Grid CI (g CO2e/kWh)</t>
        </is>
      </c>
      <c r="C20" s="56">
        <f>IFERROR(INDEX('Region Factors'!$B$2:$B$21,MATCH(C11,'Region Factors'!$A$2:$A$21,0)),"")</f>
        <v/>
      </c>
      <c r="D20" s="56">
        <f>IFERROR(INDEX('Region Factors'!$B$2:$B$21,MATCH(D11,'Region Factors'!$A$2:$A$21,0)),"")</f>
        <v/>
      </c>
      <c r="E20" s="56">
        <f>IFERROR(INDEX('Region Factors'!$B$2:$B$21,MATCH(E11,'Region Factors'!$A$2:$A$21,0)),"")</f>
        <v/>
      </c>
      <c r="F20" s="56">
        <f>IFERROR(INDEX('Region Factors'!$B$2:$B$21,MATCH(F11,'Region Factors'!$A$2:$A$21,0)),"")</f>
        <v/>
      </c>
      <c r="G20" s="18" t="inlineStr">
        <is>
          <t>regions.csv, location-based</t>
        </is>
      </c>
    </row>
    <row r="21">
      <c r="B21" s="26" t="inlineStr">
        <is>
          <t>EWIF (L/kWh)</t>
        </is>
      </c>
      <c r="C21" s="55">
        <f>IFERROR(INDEX('Region Factors'!$E$2:$E$21,MATCH(C11,'Region Factors'!$A$2:$A$21,0)),"")</f>
        <v/>
      </c>
      <c r="D21" s="55">
        <f>IFERROR(INDEX('Region Factors'!$E$2:$E$21,MATCH(D11,'Region Factors'!$A$2:$A$21,0)),"")</f>
        <v/>
      </c>
      <c r="E21" s="55">
        <f>IFERROR(INDEX('Region Factors'!$E$2:$E$21,MATCH(E11,'Region Factors'!$A$2:$A$21,0)),"")</f>
        <v/>
      </c>
      <c r="F21" s="55">
        <f>IFERROR(INDEX('Region Factors'!$E$2:$E$21,MATCH(F11,'Region Factors'!$A$2:$A$21,0)),"")</f>
        <v/>
      </c>
      <c r="G21" s="18" t="inlineStr">
        <is>
          <t>regions.csv, off-site water</t>
        </is>
      </c>
    </row>
    <row r="23">
      <c r="B23" s="8" t="inlineStr">
        <is>
          <t>RESULTS — central estimates (§4)</t>
        </is>
      </c>
      <c r="C23" s="9" t="n"/>
      <c r="D23" s="9" t="n"/>
      <c r="E23" s="9" t="n"/>
      <c r="F23" s="9" t="n"/>
    </row>
    <row r="24">
      <c r="B24" s="10" t="inlineStr">
        <is>
          <t>Energy per request (Wh)</t>
        </is>
      </c>
      <c r="C24" s="57">
        <f>IFERROR(C16*(C8+C7*(1-C12)/10)/1000*C18,"")</f>
        <v/>
      </c>
      <c r="D24" s="57">
        <f>IFERROR(D16*(D8+D7*(1-D12)/10)/1000*D18,"")</f>
        <v/>
      </c>
      <c r="E24" s="57">
        <f>IFERROR(E16*(E8+E7*(1-E12)/10)/1000*E18,"")</f>
        <v/>
      </c>
      <c r="F24" s="57">
        <f>IFERROR(F16*(F8+F7*(1-F12)/10)/1000*F18,"")</f>
        <v/>
      </c>
      <c r="G24" s="18" t="inlineStr">
        <is>
          <t>E_IT × PUE; E_IT = e_out × (T_out + T_in × (1 − c) / 10) / 1000</t>
        </is>
      </c>
    </row>
    <row r="25">
      <c r="B25" s="10" t="inlineStr">
        <is>
          <t>Energy per month (kWh)</t>
        </is>
      </c>
      <c r="C25" s="58">
        <f>IFERROR(C24*C9/1000,"")</f>
        <v/>
      </c>
      <c r="D25" s="58">
        <f>IFERROR(D24*D9/1000,"")</f>
        <v/>
      </c>
      <c r="E25" s="58">
        <f>IFERROR(E24*E9/1000,"")</f>
        <v/>
      </c>
      <c r="F25" s="58">
        <f>IFERROR(F24*F9/1000,"")</f>
        <v/>
      </c>
    </row>
    <row r="26">
      <c r="B26" s="10" t="inlineStr">
        <is>
          <t>Carbon — location-based (kg CO2e/mo)</t>
        </is>
      </c>
      <c r="C26" s="59">
        <f>IFERROR(C25*C20/1000,"")</f>
        <v/>
      </c>
      <c r="D26" s="59">
        <f>IFERROR(D25*D20/1000,"")</f>
        <v/>
      </c>
      <c r="E26" s="59">
        <f>IFERROR(E25*E20/1000,"")</f>
        <v/>
      </c>
      <c r="F26" s="59">
        <f>IFERROR(F25*F20/1000,"")</f>
        <v/>
      </c>
    </row>
    <row r="27">
      <c r="B27" s="10" t="inlineStr">
        <is>
          <t>Embodied carbon (kg CO2e/mo)</t>
        </is>
      </c>
      <c r="C27" s="58">
        <f>IFERROR(C26*C13,"")</f>
        <v/>
      </c>
      <c r="D27" s="58">
        <f>IFERROR(D26*D13,"")</f>
        <v/>
      </c>
      <c r="E27" s="58">
        <f>IFERROR(E26*E13,"")</f>
        <v/>
      </c>
      <c r="F27" s="58">
        <f>IFERROR(F26*F13,"")</f>
        <v/>
      </c>
    </row>
    <row r="28">
      <c r="B28" s="10" t="inlineStr">
        <is>
          <t>Water (L/mo)</t>
        </is>
      </c>
      <c r="C28" s="60">
        <f>IFERROR(C16*(C8+C7*(1-C12)/10)/1000*C9/1000*C19+C25*C21,"")</f>
        <v/>
      </c>
      <c r="D28" s="60">
        <f>IFERROR(D16*(D8+D7*(1-D12)/10)/1000*D9/1000*D19+D25*D21,"")</f>
        <v/>
      </c>
      <c r="E28" s="60">
        <f>IFERROR(E16*(E8+E7*(1-E12)/10)/1000*E9/1000*E19+E25*E21,"")</f>
        <v/>
      </c>
      <c r="F28" s="60">
        <f>IFERROR(F16*(F8+F7*(1-F12)/10)/1000*F9/1000*F19+F25*F21,"")</f>
        <v/>
      </c>
      <c r="G28" s="18" t="inlineStr">
        <is>
          <t>on-site (IT energy × WUE) + off-site (total energy × EWIF)</t>
        </is>
      </c>
    </row>
    <row r="30">
      <c r="B30" s="10" t="inlineStr">
        <is>
          <t>Efficiency grade</t>
        </is>
      </c>
      <c r="C30" s="61">
        <f>IF(OR(C24="",C6=""),"",IF(C24&lt;=INDEX(Grading!$E$2:$E$5,MATCH(C6,Grading!$A$2:$A$5,0)),"A",IF(C24&lt;=INDEX(Grading!$F$2:$F$5,MATCH(C6,Grading!$A$2:$A$5,0)),"B",IF(C24&lt;=INDEX(Grading!$G$2:$G$5,MATCH(C6,Grading!$A$2:$A$5,0)),"C",IF(C24&lt;=INDEX(Grading!$H$2:$H$5,MATCH(C6,Grading!$A$2:$A$5,0)),"D","E")))))</f>
        <v/>
      </c>
      <c r="D30" s="61">
        <f>IF(OR(D24="",D6=""),"",IF(D24&lt;=INDEX(Grading!$E$2:$E$5,MATCH(D6,Grading!$A$2:$A$5,0)),"A",IF(D24&lt;=INDEX(Grading!$F$2:$F$5,MATCH(D6,Grading!$A$2:$A$5,0)),"B",IF(D24&lt;=INDEX(Grading!$G$2:$G$5,MATCH(D6,Grading!$A$2:$A$5,0)),"C",IF(D24&lt;=INDEX(Grading!$H$2:$H$5,MATCH(D6,Grading!$A$2:$A$5,0)),"D","E")))))</f>
        <v/>
      </c>
      <c r="E30" s="61">
        <f>IF(OR(E24="",E6=""),"",IF(E24&lt;=INDEX(Grading!$E$2:$E$5,MATCH(E6,Grading!$A$2:$A$5,0)),"A",IF(E24&lt;=INDEX(Grading!$F$2:$F$5,MATCH(E6,Grading!$A$2:$A$5,0)),"B",IF(E24&lt;=INDEX(Grading!$G$2:$G$5,MATCH(E6,Grading!$A$2:$A$5,0)),"C",IF(E24&lt;=INDEX(Grading!$H$2:$H$5,MATCH(E6,Grading!$A$2:$A$5,0)),"D","E")))))</f>
        <v/>
      </c>
      <c r="F30" s="61">
        <f>IF(OR(F24="",F6=""),"",IF(F24&lt;=INDEX(Grading!$E$2:$E$5,MATCH(F6,Grading!$A$2:$A$5,0)),"A",IF(F24&lt;=INDEX(Grading!$F$2:$F$5,MATCH(F6,Grading!$A$2:$A$5,0)),"B",IF(F24&lt;=INDEX(Grading!$G$2:$G$5,MATCH(F6,Grading!$A$2:$A$5,0)),"C",IF(F24&lt;=INDEX(Grading!$H$2:$H$5,MATCH(F6,Grading!$A$2:$A$5,0)),"D","E")))))</f>
        <v/>
      </c>
      <c r="G30" s="18" t="inlineStr">
        <is>
          <t>Central Wh/request vs the task class's bands (§5.2)</t>
        </is>
      </c>
    </row>
    <row r="31">
      <c r="B31" s="10" t="inlineStr">
        <is>
          <t>Carbon vs baseline</t>
        </is>
      </c>
      <c r="C31" s="62">
        <f>"baseline"</f>
        <v/>
      </c>
      <c r="D31" s="62">
        <f>IF(OR($C$26="",$C$26=0),"—",IFERROR(D26/$C$26-1,""))</f>
        <v/>
      </c>
      <c r="E31" s="62">
        <f>IF(OR($C$26="",$C$26=0),"—",IFERROR(E26/$C$26-1,""))</f>
        <v/>
      </c>
      <c r="F31" s="62">
        <f>IF(OR($C$26="",$C$26=0),"—",IFERROR(F26/$C$26-1,""))</f>
        <v/>
      </c>
      <c r="G31" s="18" t="inlineStr">
        <is>
          <t>Negative = lower than column C</t>
        </is>
      </c>
    </row>
    <row r="33" ht="42" customHeight="1">
      <c r="B33" s="12" t="inlineStr">
        <is>
          <t>Only the differences between columns are meaningful here: the absolute values carry the same tier-driven uncertainty as everywhere else in GAIA (see the Assessment sheet for low/central/high). Comparing a T4 row against a T2 row compares an estimate against a measurement — the tier row above says which is which.</t>
        </is>
      </c>
    </row>
  </sheetData>
  <mergeCells count="1">
    <mergeCell ref="B33:G33"/>
  </mergeCells>
  <conditionalFormatting sqref="C30:F30">
    <cfRule type="cellIs" priority="1" operator="equal" dxfId="5">
      <formula>"A"</formula>
    </cfRule>
    <cfRule type="cellIs" priority="2" operator="equal" dxfId="6">
      <formula>"B"</formula>
    </cfRule>
    <cfRule type="cellIs" priority="3" operator="equal" dxfId="7">
      <formula>"C"</formula>
    </cfRule>
    <cfRule type="cellIs" priority="4" operator="equal" dxfId="8">
      <formula>"D"</formula>
    </cfRule>
    <cfRule type="cellIs" priority="5" operator="equal" dxfId="9">
      <formula>"E"</formula>
    </cfRule>
  </conditionalFormatting>
  <dataValidations count="5">
    <dataValidation sqref="C5:F5" showDropDown="0" showInputMessage="0" showErrorMessage="0" allowBlank="1" type="list">
      <formula1>='Model Database'!$A$2:$A$136</formula1>
    </dataValidation>
    <dataValidation sqref="C6:F6" showDropDown="0" showInputMessage="0" showErrorMessage="0" allowBlank="1" type="list">
      <formula1>=Grading!$A$2:$A$5</formula1>
    </dataValidation>
    <dataValidation sqref="C10:F10" showDropDown="0" showInputMessage="0" showErrorMessage="0" allowBlank="1" type="list">
      <formula1>='Facility Profiles'!$A$2:$A$6</formula1>
    </dataValidation>
    <dataValidation sqref="C11:F11" showDropDown="0" showInputMessage="0" showErrorMessage="0" allowBlank="1" type="list">
      <formula1>='Region Factors'!$A$2:$A$21</formula1>
    </dataValidation>
    <dataValidation sqref="C12:F12" showDropDown="0" showInputMessage="0" showErrorMessage="1" allowBlank="1" errorTitle="Cached input share" error="Use a share between 0 and 1" type="decimal" operator="between">
      <formula1>0</formula1>
      <formula2>1</formula2>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7"/>
  <sheetViews>
    <sheetView showGridLines="0" workbookViewId="0">
      <pane ySplit="3" topLeftCell="A4" activePane="bottomLeft" state="frozen"/>
      <selection pane="bottomLeft" activeCell="A1" sqref="A1"/>
    </sheetView>
  </sheetViews>
  <sheetFormatPr baseColWidth="8" defaultRowHeight="15"/>
  <cols>
    <col width="22" customWidth="1" min="1" max="1"/>
    <col width="26" customWidth="1" min="2" max="2"/>
    <col width="12" customWidth="1" min="3" max="3"/>
    <col width="12" customWidth="1" min="4" max="4"/>
    <col width="12" customWidth="1" min="5" max="5"/>
    <col width="14" customWidth="1" min="6" max="6"/>
    <col width="13" customWidth="1" min="7" max="7"/>
    <col width="12" customWidth="1" min="8" max="8"/>
    <col width="14" customWidth="1" min="9" max="9"/>
    <col width="12" customWidth="1" min="10" max="10"/>
  </cols>
  <sheetData>
    <row r="1">
      <c r="A1" s="7" t="inlineStr">
        <is>
          <t>Usage Log — monthly tracking template</t>
        </is>
      </c>
    </row>
    <row r="2">
      <c r="A2" s="2" t="inlineStr">
        <is>
          <t>Enter Month, Model, Queries and average tokens; kWh / kg / L are computed with the same §4 engine math, using the CURRENT Assessment facility and region selections (PUE, WUE, CI, EWIF from the Engine sheet). Central estimates only.</t>
        </is>
      </c>
    </row>
    <row r="3">
      <c r="A3" s="16" t="inlineStr">
        <is>
          <t>Month</t>
        </is>
      </c>
      <c r="B3" s="16" t="inlineStr">
        <is>
          <t>Model</t>
        </is>
      </c>
      <c r="C3" s="16" t="inlineStr">
        <is>
          <t>Queries</t>
        </is>
      </c>
      <c r="D3" s="16" t="inlineStr">
        <is>
          <t>Tokens in avg</t>
        </is>
      </c>
      <c r="E3" s="16" t="inlineStr">
        <is>
          <t>Tokens out avg</t>
        </is>
      </c>
      <c r="F3" s="16" t="inlineStr">
        <is>
          <t>e_out (Wh/1k out)</t>
        </is>
      </c>
      <c r="G3" s="16" t="inlineStr">
        <is>
          <t>Wh / request</t>
        </is>
      </c>
      <c r="H3" s="16" t="inlineStr">
        <is>
          <t>Energy (kWh)</t>
        </is>
      </c>
      <c r="I3" s="16" t="inlineStr">
        <is>
          <t>Carbon loc. (kg CO2e)</t>
        </is>
      </c>
      <c r="J3" s="16" t="inlineStr">
        <is>
          <t>Water (L)</t>
        </is>
      </c>
    </row>
    <row r="4">
      <c r="A4" s="63" t="inlineStr">
        <is>
          <t>EXAMPLE — overwrite</t>
        </is>
      </c>
      <c r="B4" s="63" t="inlineStr">
        <is>
          <t>GPT-4o</t>
        </is>
      </c>
      <c r="C4" s="64" t="n">
        <v>1000</v>
      </c>
      <c r="D4" s="64" t="n">
        <v>500</v>
      </c>
      <c r="E4" s="64" t="n">
        <v>300</v>
      </c>
      <c r="F4" s="17">
        <f>IF($B4="","",IFERROR(INDEX('Model Database'!$E$2:$E$136,MATCH($B4,'Model Database'!$A$2:$A$136,0)),""))</f>
        <v/>
      </c>
      <c r="G4" s="17">
        <f>IF(OR($F4="",$D4="",$E4=""),"",$F4*($E4+$D4/10)/1000*Engine!$B$26)</f>
        <v/>
      </c>
      <c r="H4" s="19">
        <f>IF(OR($G4="",$C4=""),"",$G4*$C4/1000)</f>
        <v/>
      </c>
      <c r="I4" s="19">
        <f>IF($H4="","",$H4*Engine!$B$28/1000)</f>
        <v/>
      </c>
      <c r="J4" s="20">
        <f>IF(OR($H4="",$C4=""),"",($F4*($E4+$D4/10)/1000*$C4/1000)*Engine!$B$27+$H4*Engine!$B$29)</f>
        <v/>
      </c>
    </row>
    <row r="5">
      <c r="A5" s="65" t="n"/>
      <c r="B5" s="65" t="n"/>
      <c r="C5" s="11" t="n"/>
      <c r="D5" s="11" t="n"/>
      <c r="E5" s="11" t="n"/>
      <c r="F5" s="17">
        <f>IF($B5="","",IFERROR(INDEX('Model Database'!$E$2:$E$136,MATCH($B5,'Model Database'!$A$2:$A$136,0)),""))</f>
        <v/>
      </c>
      <c r="G5" s="17">
        <f>IF(OR($F5="",$D5="",$E5=""),"",$F5*($E5+$D5/10)/1000*Engine!$B$26)</f>
        <v/>
      </c>
      <c r="H5" s="19">
        <f>IF(OR($G5="",$C5=""),"",$G5*$C5/1000)</f>
        <v/>
      </c>
      <c r="I5" s="19">
        <f>IF($H5="","",$H5*Engine!$B$28/1000)</f>
        <v/>
      </c>
      <c r="J5" s="20">
        <f>IF(OR($H5="",$C5=""),"",($F5*($E5+$D5/10)/1000*$C5/1000)*Engine!$B$27+$H5*Engine!$B$29)</f>
        <v/>
      </c>
    </row>
    <row r="6">
      <c r="A6" s="65" t="n"/>
      <c r="B6" s="65" t="n"/>
      <c r="C6" s="11" t="n"/>
      <c r="D6" s="11" t="n"/>
      <c r="E6" s="11" t="n"/>
      <c r="F6" s="17">
        <f>IF($B6="","",IFERROR(INDEX('Model Database'!$E$2:$E$136,MATCH($B6,'Model Database'!$A$2:$A$136,0)),""))</f>
        <v/>
      </c>
      <c r="G6" s="17">
        <f>IF(OR($F6="",$D6="",$E6=""),"",$F6*($E6+$D6/10)/1000*Engine!$B$26)</f>
        <v/>
      </c>
      <c r="H6" s="19">
        <f>IF(OR($G6="",$C6=""),"",$G6*$C6/1000)</f>
        <v/>
      </c>
      <c r="I6" s="19">
        <f>IF($H6="","",$H6*Engine!$B$28/1000)</f>
        <v/>
      </c>
      <c r="J6" s="20">
        <f>IF(OR($H6="",$C6=""),"",($F6*($E6+$D6/10)/1000*$C6/1000)*Engine!$B$27+$H6*Engine!$B$29)</f>
        <v/>
      </c>
    </row>
    <row r="7">
      <c r="A7" s="65" t="n"/>
      <c r="B7" s="65" t="n"/>
      <c r="C7" s="11" t="n"/>
      <c r="D7" s="11" t="n"/>
      <c r="E7" s="11" t="n"/>
      <c r="F7" s="17">
        <f>IF($B7="","",IFERROR(INDEX('Model Database'!$E$2:$E$136,MATCH($B7,'Model Database'!$A$2:$A$136,0)),""))</f>
        <v/>
      </c>
      <c r="G7" s="17">
        <f>IF(OR($F7="",$D7="",$E7=""),"",$F7*($E7+$D7/10)/1000*Engine!$B$26)</f>
        <v/>
      </c>
      <c r="H7" s="19">
        <f>IF(OR($G7="",$C7=""),"",$G7*$C7/1000)</f>
        <v/>
      </c>
      <c r="I7" s="19">
        <f>IF($H7="","",$H7*Engine!$B$28/1000)</f>
        <v/>
      </c>
      <c r="J7" s="20">
        <f>IF(OR($H7="",$C7=""),"",($F7*($E7+$D7/10)/1000*$C7/1000)*Engine!$B$27+$H7*Engine!$B$29)</f>
        <v/>
      </c>
    </row>
    <row r="8">
      <c r="A8" s="65" t="n"/>
      <c r="B8" s="65" t="n"/>
      <c r="C8" s="11" t="n"/>
      <c r="D8" s="11" t="n"/>
      <c r="E8" s="11" t="n"/>
      <c r="F8" s="17">
        <f>IF($B8="","",IFERROR(INDEX('Model Database'!$E$2:$E$136,MATCH($B8,'Model Database'!$A$2:$A$136,0)),""))</f>
        <v/>
      </c>
      <c r="G8" s="17">
        <f>IF(OR($F8="",$D8="",$E8=""),"",$F8*($E8+$D8/10)/1000*Engine!$B$26)</f>
        <v/>
      </c>
      <c r="H8" s="19">
        <f>IF(OR($G8="",$C8=""),"",$G8*$C8/1000)</f>
        <v/>
      </c>
      <c r="I8" s="19">
        <f>IF($H8="","",$H8*Engine!$B$28/1000)</f>
        <v/>
      </c>
      <c r="J8" s="20">
        <f>IF(OR($H8="",$C8=""),"",($F8*($E8+$D8/10)/1000*$C8/1000)*Engine!$B$27+$H8*Engine!$B$29)</f>
        <v/>
      </c>
    </row>
    <row r="9">
      <c r="A9" s="65" t="n"/>
      <c r="B9" s="65" t="n"/>
      <c r="C9" s="11" t="n"/>
      <c r="D9" s="11" t="n"/>
      <c r="E9" s="11" t="n"/>
      <c r="F9" s="17">
        <f>IF($B9="","",IFERROR(INDEX('Model Database'!$E$2:$E$136,MATCH($B9,'Model Database'!$A$2:$A$136,0)),""))</f>
        <v/>
      </c>
      <c r="G9" s="17">
        <f>IF(OR($F9="",$D9="",$E9=""),"",$F9*($E9+$D9/10)/1000*Engine!$B$26)</f>
        <v/>
      </c>
      <c r="H9" s="19">
        <f>IF(OR($G9="",$C9=""),"",$G9*$C9/1000)</f>
        <v/>
      </c>
      <c r="I9" s="19">
        <f>IF($H9="","",$H9*Engine!$B$28/1000)</f>
        <v/>
      </c>
      <c r="J9" s="20">
        <f>IF(OR($H9="",$C9=""),"",($F9*($E9+$D9/10)/1000*$C9/1000)*Engine!$B$27+$H9*Engine!$B$29)</f>
        <v/>
      </c>
    </row>
    <row r="10">
      <c r="A10" s="65" t="n"/>
      <c r="B10" s="65" t="n"/>
      <c r="C10" s="11" t="n"/>
      <c r="D10" s="11" t="n"/>
      <c r="E10" s="11" t="n"/>
      <c r="F10" s="17">
        <f>IF($B10="","",IFERROR(INDEX('Model Database'!$E$2:$E$136,MATCH($B10,'Model Database'!$A$2:$A$136,0)),""))</f>
        <v/>
      </c>
      <c r="G10" s="17">
        <f>IF(OR($F10="",$D10="",$E10=""),"",$F10*($E10+$D10/10)/1000*Engine!$B$26)</f>
        <v/>
      </c>
      <c r="H10" s="19">
        <f>IF(OR($G10="",$C10=""),"",$G10*$C10/1000)</f>
        <v/>
      </c>
      <c r="I10" s="19">
        <f>IF($H10="","",$H10*Engine!$B$28/1000)</f>
        <v/>
      </c>
      <c r="J10" s="20">
        <f>IF(OR($H10="",$C10=""),"",($F10*($E10+$D10/10)/1000*$C10/1000)*Engine!$B$27+$H10*Engine!$B$29)</f>
        <v/>
      </c>
    </row>
    <row r="11">
      <c r="A11" s="65" t="n"/>
      <c r="B11" s="65" t="n"/>
      <c r="C11" s="11" t="n"/>
      <c r="D11" s="11" t="n"/>
      <c r="E11" s="11" t="n"/>
      <c r="F11" s="17">
        <f>IF($B11="","",IFERROR(INDEX('Model Database'!$E$2:$E$136,MATCH($B11,'Model Database'!$A$2:$A$136,0)),""))</f>
        <v/>
      </c>
      <c r="G11" s="17">
        <f>IF(OR($F11="",$D11="",$E11=""),"",$F11*($E11+$D11/10)/1000*Engine!$B$26)</f>
        <v/>
      </c>
      <c r="H11" s="19">
        <f>IF(OR($G11="",$C11=""),"",$G11*$C11/1000)</f>
        <v/>
      </c>
      <c r="I11" s="19">
        <f>IF($H11="","",$H11*Engine!$B$28/1000)</f>
        <v/>
      </c>
      <c r="J11" s="20">
        <f>IF(OR($H11="",$C11=""),"",($F11*($E11+$D11/10)/1000*$C11/1000)*Engine!$B$27+$H11*Engine!$B$29)</f>
        <v/>
      </c>
    </row>
    <row r="12">
      <c r="A12" s="65" t="n"/>
      <c r="B12" s="65" t="n"/>
      <c r="C12" s="11" t="n"/>
      <c r="D12" s="11" t="n"/>
      <c r="E12" s="11" t="n"/>
      <c r="F12" s="17">
        <f>IF($B12="","",IFERROR(INDEX('Model Database'!$E$2:$E$136,MATCH($B12,'Model Database'!$A$2:$A$136,0)),""))</f>
        <v/>
      </c>
      <c r="G12" s="17">
        <f>IF(OR($F12="",$D12="",$E12=""),"",$F12*($E12+$D12/10)/1000*Engine!$B$26)</f>
        <v/>
      </c>
      <c r="H12" s="19">
        <f>IF(OR($G12="",$C12=""),"",$G12*$C12/1000)</f>
        <v/>
      </c>
      <c r="I12" s="19">
        <f>IF($H12="","",$H12*Engine!$B$28/1000)</f>
        <v/>
      </c>
      <c r="J12" s="20">
        <f>IF(OR($H12="",$C12=""),"",($F12*($E12+$D12/10)/1000*$C12/1000)*Engine!$B$27+$H12*Engine!$B$29)</f>
        <v/>
      </c>
    </row>
    <row r="13">
      <c r="A13" s="65" t="n"/>
      <c r="B13" s="65" t="n"/>
      <c r="C13" s="11" t="n"/>
      <c r="D13" s="11" t="n"/>
      <c r="E13" s="11" t="n"/>
      <c r="F13" s="17">
        <f>IF($B13="","",IFERROR(INDEX('Model Database'!$E$2:$E$136,MATCH($B13,'Model Database'!$A$2:$A$136,0)),""))</f>
        <v/>
      </c>
      <c r="G13" s="17">
        <f>IF(OR($F13="",$D13="",$E13=""),"",$F13*($E13+$D13/10)/1000*Engine!$B$26)</f>
        <v/>
      </c>
      <c r="H13" s="19">
        <f>IF(OR($G13="",$C13=""),"",$G13*$C13/1000)</f>
        <v/>
      </c>
      <c r="I13" s="19">
        <f>IF($H13="","",$H13*Engine!$B$28/1000)</f>
        <v/>
      </c>
      <c r="J13" s="20">
        <f>IF(OR($H13="",$C13=""),"",($F13*($E13+$D13/10)/1000*$C13/1000)*Engine!$B$27+$H13*Engine!$B$29)</f>
        <v/>
      </c>
    </row>
    <row r="14">
      <c r="A14" s="65" t="n"/>
      <c r="B14" s="65" t="n"/>
      <c r="C14" s="11" t="n"/>
      <c r="D14" s="11" t="n"/>
      <c r="E14" s="11" t="n"/>
      <c r="F14" s="17">
        <f>IF($B14="","",IFERROR(INDEX('Model Database'!$E$2:$E$136,MATCH($B14,'Model Database'!$A$2:$A$136,0)),""))</f>
        <v/>
      </c>
      <c r="G14" s="17">
        <f>IF(OR($F14="",$D14="",$E14=""),"",$F14*($E14+$D14/10)/1000*Engine!$B$26)</f>
        <v/>
      </c>
      <c r="H14" s="19">
        <f>IF(OR($G14="",$C14=""),"",$G14*$C14/1000)</f>
        <v/>
      </c>
      <c r="I14" s="19">
        <f>IF($H14="","",$H14*Engine!$B$28/1000)</f>
        <v/>
      </c>
      <c r="J14" s="20">
        <f>IF(OR($H14="",$C14=""),"",($F14*($E14+$D14/10)/1000*$C14/1000)*Engine!$B$27+$H14*Engine!$B$29)</f>
        <v/>
      </c>
    </row>
    <row r="15">
      <c r="A15" s="65" t="n"/>
      <c r="B15" s="65" t="n"/>
      <c r="C15" s="11" t="n"/>
      <c r="D15" s="11" t="n"/>
      <c r="E15" s="11" t="n"/>
      <c r="F15" s="17">
        <f>IF($B15="","",IFERROR(INDEX('Model Database'!$E$2:$E$136,MATCH($B15,'Model Database'!$A$2:$A$136,0)),""))</f>
        <v/>
      </c>
      <c r="G15" s="17">
        <f>IF(OR($F15="",$D15="",$E15=""),"",$F15*($E15+$D15/10)/1000*Engine!$B$26)</f>
        <v/>
      </c>
      <c r="H15" s="19">
        <f>IF(OR($G15="",$C15=""),"",$G15*$C15/1000)</f>
        <v/>
      </c>
      <c r="I15" s="19">
        <f>IF($H15="","",$H15*Engine!$B$28/1000)</f>
        <v/>
      </c>
      <c r="J15" s="20">
        <f>IF(OR($H15="",$C15=""),"",($F15*($E15+$D15/10)/1000*$C15/1000)*Engine!$B$27+$H15*Engine!$B$29)</f>
        <v/>
      </c>
    </row>
    <row r="16">
      <c r="A16" s="65" t="n"/>
      <c r="B16" s="65" t="n"/>
      <c r="C16" s="11" t="n"/>
      <c r="D16" s="11" t="n"/>
      <c r="E16" s="11" t="n"/>
      <c r="F16" s="17">
        <f>IF($B16="","",IFERROR(INDEX('Model Database'!$E$2:$E$136,MATCH($B16,'Model Database'!$A$2:$A$136,0)),""))</f>
        <v/>
      </c>
      <c r="G16" s="17">
        <f>IF(OR($F16="",$D16="",$E16=""),"",$F16*($E16+$D16/10)/1000*Engine!$B$26)</f>
        <v/>
      </c>
      <c r="H16" s="19">
        <f>IF(OR($G16="",$C16=""),"",$G16*$C16/1000)</f>
        <v/>
      </c>
      <c r="I16" s="19">
        <f>IF($H16="","",$H16*Engine!$B$28/1000)</f>
        <v/>
      </c>
      <c r="J16" s="20">
        <f>IF(OR($H16="",$C16=""),"",($F16*($E16+$D16/10)/1000*$C16/1000)*Engine!$B$27+$H16*Engine!$B$29)</f>
        <v/>
      </c>
    </row>
    <row r="17">
      <c r="A17" s="66" t="inlineStr">
        <is>
          <t>TOTAL (12 template rows; example row excluded)</t>
        </is>
      </c>
      <c r="H17" s="59">
        <f>SUM(H5:H16)</f>
        <v/>
      </c>
      <c r="I17" s="59">
        <f>SUM(I5:I16)</f>
        <v/>
      </c>
      <c r="J17" s="67">
        <f>SUM(J5:J16)</f>
        <v/>
      </c>
    </row>
  </sheetData>
  <dataValidations count="1">
    <dataValidation sqref="B4:B16" showDropDown="0" showInputMessage="0" showErrorMessage="0" allowBlank="1" type="list">
      <formula1>='Model Database'!$A$2:$A$136</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1:E52"/>
  <sheetViews>
    <sheetView showGridLines="0" workbookViewId="0">
      <selection activeCell="A1" sqref="A1"/>
    </sheetView>
  </sheetViews>
  <sheetFormatPr baseColWidth="8" defaultRowHeight="15"/>
  <cols>
    <col width="3" customWidth="1" min="1" max="1"/>
    <col width="120" customWidth="1" min="2" max="2"/>
  </cols>
  <sheetData>
    <row r="1">
      <c r="B1" s="7" t="inlineStr">
        <is>
          <t>Methodology &amp; Sources</t>
        </is>
      </c>
    </row>
    <row r="2">
      <c r="B2" s="2" t="inlineStr">
        <is>
          <t>The §4 equations as implemented in this workbook, the data-quality tier ladder, the system boundary, limitations, and the full source list. Authoritative text: FRAMEWORK.md.</t>
        </is>
      </c>
    </row>
    <row r="4">
      <c r="B4" s="4" t="inlineStr">
        <is>
          <t>Equations (FRAMEWORK.md §4) — exactly as computed on the Engine sheet</t>
        </is>
      </c>
    </row>
    <row r="5">
      <c r="B5" s="68" t="inlineStr">
        <is>
          <t>E_IT_request [Wh]  =  e_out × (T_out + T_in × (1 − c) / 10) / 1000</t>
        </is>
      </c>
    </row>
    <row r="6">
      <c r="B6" s="68" t="inlineStr">
        <is>
          <t xml:space="preserve">    e_out = model energy per 1000 output tokens at the IT boundary (accelerator + host + idle; the serving-stack multiplier S ≈ 1.7 is ALREADY INCLUDED in the Model Database values). Input tokens cost ≈ 1/10 of output tokens (k = 10, §4.1).</t>
        </is>
      </c>
    </row>
    <row r="7">
      <c r="B7" s="68" t="inlineStr">
        <is>
          <t xml:space="preserve">    c     = cached input share. A prompt-cache hit reuses a computed prefix, so those input tokens are never prefilled again and carry no energy. Output tokens are NEVER cached — generation is autoregressive and is recomputed every time. Use your measured hit rate, not a target; default 0 (§4.1).</t>
        </is>
      </c>
    </row>
    <row r="8">
      <c r="B8" s="68" t="inlineStr">
        <is>
          <t>E_request [Wh]     =  E_IT_request × PUE            (facility overhead, §4.1)</t>
        </is>
      </c>
    </row>
    <row r="9">
      <c r="B9" s="68" t="inlineStr">
        <is>
          <t>E_month [kWh]      =  E_request × Q_month / 1000                     (§4.2)</t>
        </is>
      </c>
    </row>
    <row r="10">
      <c r="B10" s="68" t="inlineStr">
        <is>
          <t>C_op(location)     =  E_month × CI_location / 1000       [kg CO2e]   (§4.3)</t>
        </is>
      </c>
    </row>
    <row r="11">
      <c r="B11" s="68" t="inlineStr">
        <is>
          <t>C_op(market)       =  E_month × CI_market / 1000 — only when a market CI is supplied; otherwise 'not provided'. Never blended (P6).</t>
        </is>
      </c>
    </row>
    <row r="12">
      <c r="B12" s="68" t="inlineStr">
        <is>
          <t>C_embodied         =  C_op(location) × embodied_adder   (default 0.25, range 0.10–0.50, §4.6)</t>
        </is>
      </c>
    </row>
    <row r="13">
      <c r="B13" s="68" t="inlineStr">
        <is>
          <t>W_month [L]        =  E_IT_month × WUE_site  +  E_month × EWIF_region   (two-path water, §4.4)</t>
        </is>
      </c>
    </row>
    <row r="14">
      <c r="B14" s="68" t="inlineStr">
        <is>
          <t>Bounds: low = central × (wh_low/e_out); high = central × (wh_high/e_out). The interval is energy-dominated; uncertainty in PUE, CI, WUE, EWIF adds beyond the shown bounds (documented, P2).</t>
        </is>
      </c>
    </row>
    <row r="16">
      <c r="B16" s="4" t="inlineStr">
        <is>
          <t>Data-quality tiers (§4.5) — the provenance ladder</t>
        </is>
      </c>
    </row>
    <row r="17">
      <c r="B17" s="69" t="inlineStr">
        <is>
          <t>Tier</t>
        </is>
      </c>
      <c r="C17" s="69" t="inlineStr">
        <is>
          <t>Basis</t>
        </is>
      </c>
      <c r="D17" s="69" t="inlineStr">
        <is>
          <t>Uncertainty band (central ×/÷)</t>
        </is>
      </c>
      <c r="E17" s="69" t="inlineStr">
        <is>
          <t>Example</t>
        </is>
      </c>
    </row>
    <row r="18">
      <c r="B18" s="70" t="inlineStr">
        <is>
          <t>T1 Measured</t>
        </is>
      </c>
      <c r="C18" s="26" t="inlineStr">
        <is>
          <t>Direct metering of your deployment (CodeCarbon, nvidia-smi + host power)</t>
        </is>
      </c>
      <c r="D18" s="26" t="inlineStr">
        <is>
          <t>1.15</t>
        </is>
      </c>
      <c r="E18" s="26" t="inlineStr">
        <is>
          <t>Self-hosted Llama with power logging</t>
        </is>
      </c>
    </row>
    <row r="19">
      <c r="B19" s="71" t="inlineStr">
        <is>
          <t>T2 Disclosed</t>
        </is>
      </c>
      <c r="C19" s="26" t="inlineStr">
        <is>
          <t>Provider-published full-stack measurement with stated boundary</t>
        </is>
      </c>
      <c r="D19" s="26" t="inlineStr">
        <is>
          <t>1.5</t>
        </is>
      </c>
      <c r="E19" s="26" t="inlineStr">
        <is>
          <t>Google Gemini 0.24 Wh/median prompt; Mistral Large 2 LCA</t>
        </is>
      </c>
    </row>
    <row r="20">
      <c r="B20" s="72" t="inlineStr">
        <is>
          <t>T3 Benchmarked</t>
        </is>
      </c>
      <c r="C20" s="26" t="inlineStr">
        <is>
          <t>Independent standardized benchmark (GPU-only, needs S)</t>
        </is>
      </c>
      <c r="D20" s="26" t="inlineStr">
        <is>
          <t>2</t>
        </is>
      </c>
      <c r="E20" s="26" t="inlineStr">
        <is>
          <t>AI Energy Score; Jegham et al. API benchmarks</t>
        </is>
      </c>
    </row>
    <row r="21">
      <c r="B21" s="73" t="inlineStr">
        <is>
          <t>T4 Modelled</t>
        </is>
      </c>
      <c r="C21" s="26" t="inlineStr">
        <is>
          <t>Parameter-count physics model on ACTIVE parameters (FLOPs → J via hardware efficiency)</t>
        </is>
      </c>
      <c r="D21" s="26" t="inlineStr">
        <is>
          <t>3</t>
        </is>
      </c>
      <c r="E21" s="26" t="inlineStr">
        <is>
          <t>EcoLogits-style estimate for an undisclosed model</t>
        </is>
      </c>
    </row>
    <row r="22">
      <c r="B22" s="3" t="inlineStr">
        <is>
          <t>The tier band is the default MINIMUM width: low = central ÷ band, high = central × band; a model row may carry wider bounds where sources disagree (documented in its basis column) — the stored wh_low/wh_high are authoritative. Downstream results scale by the energy bounds (energy-dominated); factor uncertainty (CI, PUE, WUE, EWIF) adds beyond the displayed band and is disclosed in the factor sheets.</t>
        </is>
      </c>
    </row>
    <row r="24">
      <c r="B24" s="4" t="inlineStr">
        <is>
          <t>System boundary (§2)</t>
        </is>
      </c>
    </row>
    <row r="25">
      <c r="B25" s="3" t="inlineStr">
        <is>
          <t>In scope: accelerator energy for inference; host CPU/DRAM/storage/idle (serving-stack multiplier); data-center overhead (PUE); grid carbon (location- and market-based CI); on-site cooling water + off-site electricity-generation water; embodied emissions of serving hardware (amortized adder); amortized training footprint (optional, OFF by default — it belongs to the provider's inventory under GHG Protocol logic).</t>
        </is>
      </c>
    </row>
    <row r="26">
      <c r="B26" s="3" t="inlineStr">
        <is>
          <t>Out of scope (documented per ISO 14044 cut-off rules): end-user devices, network transmission (typically &lt;5% of a generative-AI request's footprint), data-center construction, end-of-life — a truncation that understates the true total by an estimated 5–15%.</t>
        </is>
      </c>
    </row>
    <row r="28">
      <c r="B28" s="4" t="inlineStr">
        <is>
          <t>Known limitations (§10, stated per P2)</t>
        </is>
      </c>
    </row>
    <row r="29">
      <c r="B29" s="3" t="inlineStr">
        <is>
          <t>•  Closed providers do not disclose per-model serving data; most model rows are T3/T4 with wide bounds. GAIA makes the opacity itself visible — that is the point of the tier column.</t>
        </is>
      </c>
    </row>
    <row r="30">
      <c r="B30" s="3" t="inlineStr">
        <is>
          <t>•  Benchmarks measure specific hardware/serving configurations; production fleets differ (batching, quantization, speculative decoding can shift per-token energy several-fold in either direction).</t>
        </is>
      </c>
    </row>
    <row r="31">
      <c r="B31" s="3" t="inlineStr">
        <is>
          <t>•  Annual-average grid CI ignores hourly variation; marginal-emissions accounting is out of scope for v2.0.</t>
        </is>
      </c>
    </row>
    <row r="32">
      <c r="B32" s="3" t="inlineStr">
        <is>
          <t>•  Water data is the weakest link: EWIF varies by basin and season, and water STRESS context matters as much as volume. GAIA reports volume and flags stress-region hosting qualitatively.</t>
        </is>
      </c>
    </row>
    <row r="33">
      <c r="B33" s="3" t="inlineStr">
        <is>
          <t>•  Rebound effects (efficiency → more usage) are real and unmodeled; the frugality flag is the partial control.</t>
        </is>
      </c>
    </row>
    <row r="35">
      <c r="B35" s="4" t="inlineStr">
        <is>
          <t>Foundational sources (§11)</t>
        </is>
      </c>
    </row>
    <row r="36">
      <c r="B36" s="49" t="inlineStr">
        <is>
          <t>Measurement &amp; disclosure:</t>
        </is>
      </c>
    </row>
    <row r="37">
      <c r="B37" s="3" t="inlineStr">
        <is>
          <t>Elsworth et al. (Google), 'Measuring the environmental impact of delivering AI', arXiv:2508.15734 (2025) · Mistral AI × ADEME/Carbone 4, 'LCA of Mistral Large 2' (2025) · OpenAI (Altman), per-query energy statement (2025) · Epoch AI, 'How much energy does ChatGPT use?' (2025)</t>
        </is>
      </c>
    </row>
    <row r="39">
      <c r="B39" s="49" t="inlineStr">
        <is>
          <t>Benchmarks:</t>
        </is>
      </c>
    </row>
    <row r="40">
      <c r="B40" s="3" t="inlineStr">
        <is>
          <t>Jegham et al., 'How Hungry is AI?', arXiv:2505.09598 (2025) · Luccioni et al., 'AI Energy Score' v1–v2 (2025) · Luccioni, Jernite &amp; Strubell, 'Power Hungry Processing', FAccT (2024)</t>
        </is>
      </c>
    </row>
    <row r="42">
      <c r="B42" s="49" t="inlineStr">
        <is>
          <t>Water:</t>
        </is>
      </c>
    </row>
    <row r="43">
      <c r="B43" s="3" t="inlineStr">
        <is>
          <t>Li, Yang, Islam &amp; Ren, 'Making AI Less "Thirsty"', arXiv:2304.03271 (2023; CACM 2025) · Macknick et al., operational water factors (2012)</t>
        </is>
      </c>
    </row>
    <row r="45">
      <c r="B45" s="49" t="inlineStr">
        <is>
          <t>Lifecycle &amp; embodied:</t>
        </is>
      </c>
    </row>
    <row r="46">
      <c r="B46" s="3" t="inlineStr">
        <is>
          <t>Luccioni, Viguier &amp; Ligozat, 'BLOOM LCA', arXiv:2211.02001 (2022) · Faiz et al., 'LLMCarbon', ICLR (2024) · Boavizta server-impact database · NVIDIA HGX embodied-carbon disclosures</t>
        </is>
      </c>
    </row>
    <row r="48">
      <c r="B48" s="49" t="inlineStr">
        <is>
          <t>Standards:</t>
        </is>
      </c>
    </row>
    <row r="49">
      <c r="B49" s="3" t="inlineStr">
        <is>
          <t>ISO/IEC 21031:2024 (SCI) · GSF 'SCI for AI' (2025) · ISO 14040/14044 · ITU-T L.1410 · AFNOR SPEC 2314 (2024) · GHG Protocol Scope 2 Guidance · EU AI Act Art. 40/51/95, Annex XI</t>
        </is>
      </c>
    </row>
    <row r="51">
      <c r="B51" s="49" t="inlineStr">
        <is>
          <t>Context data:</t>
        </is>
      </c>
    </row>
    <row r="52">
      <c r="B52" s="3" t="inlineStr">
        <is>
          <t>Ember 'Global Electricity Review' (2025, 2024 data) · IEA 'Electricity 2025' / 'Energy &amp; AI' (2025) · Uptime Institute 'Global Data Center Survey' (2025) · operator sustainability reports (Google, Microsoft, Meta, AWS)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0"/>
  <sheetViews>
    <sheetView workbookViewId="0">
      <pane ySplit="1" topLeftCell="A2" activePane="bottomLeft" state="frozen"/>
      <selection pane="bottomLeft" activeCell="A1" sqref="A1"/>
    </sheetView>
  </sheetViews>
  <sheetFormatPr baseColWidth="8" defaultRowHeight="15"/>
  <cols>
    <col width="36" customWidth="1" min="1" max="1"/>
    <col width="26" customWidth="1" min="2" max="2"/>
    <col width="20" customWidth="1" min="3" max="3"/>
    <col width="48" customWidth="1" min="4" max="4"/>
    <col width="66" customWidth="1" min="5" max="5"/>
  </cols>
  <sheetData>
    <row r="1">
      <c r="A1" s="16" t="inlineStr">
        <is>
          <t>Framework</t>
        </is>
      </c>
      <c r="B1" s="16" t="inlineStr">
        <is>
          <t>Organisation</t>
        </is>
      </c>
      <c r="C1" s="16" t="inlineStr">
        <is>
          <t>Type</t>
        </is>
      </c>
      <c r="D1" s="16" t="inlineStr">
        <is>
          <t>What it does</t>
        </is>
      </c>
      <c r="E1" s="16" t="inlineStr">
        <is>
          <t>Relation to GAIA</t>
        </is>
      </c>
    </row>
    <row r="2">
      <c r="A2" s="26" t="inlineStr">
        <is>
          <t>SCI — ISO/IEC 21031:2024</t>
        </is>
      </c>
      <c r="B2" s="26" t="inlineStr">
        <is>
          <t>Green Software Foundation / ISO</t>
        </is>
      </c>
      <c r="C2" s="26" t="inlineStr">
        <is>
          <t>Standard (rate)</t>
        </is>
      </c>
      <c r="D2" s="26" t="inlineStr">
        <is>
          <t>SCI = (E×I + M)/R per functional unit</t>
        </is>
      </c>
      <c r="E2" s="26" t="inlineStr">
        <is>
          <t>GAIA computes exactly E, I, M and R; any GAIA result restates as an SCI score (energy → E, location CI → I, embodied → M, functional unit → R)</t>
        </is>
      </c>
    </row>
    <row r="3">
      <c r="A3" s="26" t="inlineStr">
        <is>
          <t>SCI for AI</t>
        </is>
      </c>
      <c r="B3" s="26" t="inlineStr">
        <is>
          <t>Green Software Foundation</t>
        </is>
      </c>
      <c r="C3" s="26" t="inlineStr">
        <is>
          <t>Standard extension</t>
        </is>
      </c>
      <c r="D3" s="26" t="inlineStr">
        <is>
          <t>SCI adapted to the AI lifecycle, including the training/inference split</t>
        </is>
      </c>
      <c r="E3" s="26" t="inlineStr">
        <is>
          <t>GAIA's Assess module is an implementation; GAIA adds water, grading, frugality and the decision layer SCI deliberately leaves out</t>
        </is>
      </c>
    </row>
    <row r="4">
      <c r="A4" s="26" t="inlineStr">
        <is>
          <t>AI Energy Score</t>
        </is>
      </c>
      <c r="B4" s="26" t="inlineStr">
        <is>
          <t>Hugging Face, Salesforce, Cohere, Carnegie Mellon</t>
        </is>
      </c>
      <c r="C4" s="26" t="inlineStr">
        <is>
          <t>Benchmark + rating</t>
        </is>
      </c>
      <c r="D4" s="26" t="inlineStr">
        <is>
          <t>Standardized GPU-energy benchmark on fixed hardware, with star ratings per task</t>
        </is>
      </c>
      <c r="E4" s="26" t="inlineStr">
        <is>
          <t>Consumed as T3 data after the serving-stack correction; GAIA grades your deployment, not the bare model</t>
        </is>
      </c>
    </row>
    <row r="5">
      <c r="A5" s="26" t="inlineStr">
        <is>
          <t>ML.ENERGY Leaderboard</t>
        </is>
      </c>
      <c r="B5" s="26" t="inlineStr">
        <is>
          <t>University of Michigan</t>
        </is>
      </c>
      <c r="C5" s="26" t="inlineStr">
        <is>
          <t>Benchmark</t>
        </is>
      </c>
      <c r="D5" s="26" t="inlineStr">
        <is>
          <t>Open, reproducible per-request energy measurements for open-weight models</t>
        </is>
      </c>
      <c r="E5" s="26" t="inlineStr">
        <is>
          <t>A second independent T3 source; especially valuable for the open-weight rows GAIA cannot otherwise measure</t>
        </is>
      </c>
    </row>
    <row r="6">
      <c r="A6" s="26" t="inlineStr">
        <is>
          <t>EcoLogits</t>
        </is>
      </c>
      <c r="B6" s="26" t="inlineStr">
        <is>
          <t>GenAI Impact</t>
        </is>
      </c>
      <c r="C6" s="26" t="inlineStr">
        <is>
          <t>Software library</t>
        </is>
      </c>
      <c r="D6" s="26" t="inlineStr">
        <is>
          <t>ISO-14044-based per-request estimates for API models</t>
        </is>
      </c>
      <c r="E6" s="26" t="inlineStr">
        <is>
          <t>Peer methodology for GAIA's T4 estimates; GAIA is spreadsheet-first and adds the organizational workflow</t>
        </is>
      </c>
    </row>
    <row r="7">
      <c r="A7" s="26" t="inlineStr">
        <is>
          <t>CodeCarbon / Green Algorithms</t>
        </is>
      </c>
      <c r="B7" s="26" t="inlineStr">
        <is>
          <t>Open source / academic</t>
        </is>
      </c>
      <c r="C7" s="26" t="inlineStr">
        <is>
          <t>Measurement tools</t>
        </is>
      </c>
      <c r="D7" s="26" t="inlineStr">
        <is>
          <t>Meter or estimate compute energy and carbon during execution</t>
        </is>
      </c>
      <c r="E7" s="26" t="inlineStr">
        <is>
          <t>GAIA's T1 data source — the recommended path for any self-hosted or open-weight deployment</t>
        </is>
      </c>
    </row>
    <row r="8">
      <c r="A8" s="26" t="inlineStr">
        <is>
          <t>AFNOR SPEC 2314 — Frugal AI</t>
        </is>
      </c>
      <c r="B8" s="26" t="inlineStr">
        <is>
          <t>AFNOR</t>
        </is>
      </c>
      <c r="C8" s="26" t="inlineStr">
        <is>
          <t>Reference framework</t>
        </is>
      </c>
      <c r="D8" s="26" t="inlineStr">
        <is>
          <t>Lifecycle methodology, best practices, and the imperative to question the need</t>
        </is>
      </c>
      <c r="E8" s="26" t="inlineStr">
        <is>
          <t>GAIA's fit-for-purpose check descends from it; GAIA adds quantitative grading and uncertainty tiers</t>
        </is>
      </c>
    </row>
    <row r="9">
      <c r="A9" s="26" t="inlineStr">
        <is>
          <t>ITU-T L.1410 / ISO 14040-44</t>
        </is>
      </c>
      <c r="B9" s="26" t="inlineStr">
        <is>
          <t>ITU / ISO</t>
        </is>
      </c>
      <c r="C9" s="26" t="inlineStr">
        <is>
          <t>LCA standards</t>
        </is>
      </c>
      <c r="D9" s="26" t="inlineStr">
        <is>
          <t>Boundary and allocation rules for ICT life-cycle assessment</t>
        </is>
      </c>
      <c r="E9" s="26" t="inlineStr">
        <is>
          <t>Govern GAIA's boundary declarations and cut-off disclosures</t>
        </is>
      </c>
    </row>
    <row r="10">
      <c r="A10" s="26" t="inlineStr">
        <is>
          <t>GHG Protocol — Scope 2 guidance</t>
        </is>
      </c>
      <c r="B10" s="26" t="inlineStr">
        <is>
          <t>WRI / WBCSD</t>
        </is>
      </c>
      <c r="C10" s="26" t="inlineStr">
        <is>
          <t>Accounting standard</t>
        </is>
      </c>
      <c r="D10" s="26" t="inlineStr">
        <is>
          <t>Corporate inventories with dual location- and market-based reporting</t>
        </is>
      </c>
      <c r="E10" s="26" t="inlineStr">
        <is>
          <t>GAIA totals feed Scope 2/3 line items; dual reporting (P6) is inherited from it</t>
        </is>
      </c>
    </row>
    <row r="11">
      <c r="A11" s="26" t="inlineStr">
        <is>
          <t>LLMCarbon</t>
        </is>
      </c>
      <c r="B11" s="26" t="inlineStr">
        <is>
          <t>Academic (ICLR)</t>
        </is>
      </c>
      <c r="C11" s="26" t="inlineStr">
        <is>
          <t>Predictive model</t>
        </is>
      </c>
      <c r="D11" s="26" t="inlineStr">
        <is>
          <t>End-to-end carbon prediction across training, inference and embodied hardware</t>
        </is>
      </c>
      <c r="E11" s="26" t="inlineStr">
        <is>
          <t>Basis for GAIA's optional training-attribution adder</t>
        </is>
      </c>
    </row>
    <row r="12">
      <c r="A12" s="26" t="inlineStr">
        <is>
          <t>EU AI Act — Art. 53, Annex XI</t>
        </is>
      </c>
      <c r="B12" s="26" t="inlineStr">
        <is>
          <t>European Commission</t>
        </is>
      </c>
      <c r="C12" s="26" t="inlineStr">
        <is>
          <t>Regulation</t>
        </is>
      </c>
      <c r="D12" s="26" t="inlineStr">
        <is>
          <t>Energy-documentation duties for general-purpose AI model providers</t>
        </is>
      </c>
      <c r="E12" s="26" t="inlineStr">
        <is>
          <t>GAIA's disclosure template is structured so provider-side answers slot straight in as T2 data</t>
        </is>
      </c>
    </row>
    <row r="13">
      <c r="A13" s="26" t="inlineStr">
        <is>
          <t>ISO/IEC TR 20226:2025</t>
        </is>
      </c>
      <c r="B13" s="26" t="inlineStr">
        <is>
          <t>ISO/IEC JTC 1/SC 42</t>
        </is>
      </c>
      <c r="C13" s="26" t="inlineStr">
        <is>
          <t>Technical report</t>
        </is>
      </c>
      <c r="D13" s="26" t="inlineStr">
        <is>
          <t>Environmental sustainability aspects and metrics of AI systems across the lifecycle</t>
        </is>
      </c>
      <c r="E13" s="26" t="inlineStr">
        <is>
          <t>GAIA is the executable companion: it implements the report's metric categories in runnable form</t>
        </is>
      </c>
    </row>
    <row r="14">
      <c r="A14" s="26" t="inlineStr">
        <is>
          <t>ITU-T L.1801</t>
        </is>
      </c>
      <c r="B14" s="26" t="inlineStr">
        <is>
          <t>ITU-T Study Group 5</t>
        </is>
      </c>
      <c r="C14" s="26" t="inlineStr">
        <is>
          <t>Recommendation</t>
        </is>
      </c>
      <c r="D14" s="26" t="inlineStr">
        <is>
          <t>Guidelines for assessing the environmental impact of AI systems</t>
        </is>
      </c>
      <c r="E14" s="26" t="inlineStr">
        <is>
          <t>L.1801 gives the guidelines; GAIA is the no-code instrument that executes them</t>
        </is>
      </c>
    </row>
    <row r="15">
      <c r="A15" s="26" t="inlineStr">
        <is>
          <t>Boavizta / Datavizta</t>
        </is>
      </c>
      <c r="B15" s="26" t="inlineStr">
        <is>
          <t>Boavizta</t>
        </is>
      </c>
      <c r="C15" s="26" t="inlineStr">
        <is>
          <t>Open database + calculator</t>
        </is>
      </c>
      <c r="D15" s="26" t="inlineStr">
        <is>
          <t>Manufacturing and use-phase impacts of IT hardware, including servers and accelerators</t>
        </is>
      </c>
      <c r="E15" s="26" t="inlineStr">
        <is>
          <t>Source for GAIA's embodied-carbon anchors; GAIA amortises them into a per-request adder</t>
        </is>
      </c>
    </row>
    <row r="17" ht="45" customHeight="1">
      <c r="A17" s="12" t="inlineStr">
        <is>
          <t>What none of these provides — and GAIA does — is the combination of: (a) uncertainty-tiered estimates usable WITHOUT provider cooperation, (b) water alongside carbon, (c) task-conditioned grading of deployments, (d) an explicit frugality check, and (e) an Excel artifact a non-programmer can run. (FRAMEWORK.md §7). Source of truth: data/frameworks.csv.</t>
        </is>
      </c>
    </row>
    <row r="19">
      <c r="A19" s="29" t="inlineStr">
        <is>
          <t>STANDARDS GAIA IMPLEMENTS OR MAPS ONTO</t>
        </is>
      </c>
      <c r="B19" s="30" t="n"/>
      <c r="C19" s="30" t="n"/>
      <c r="D19" s="30" t="n"/>
      <c r="E19" s="30" t="n"/>
    </row>
    <row r="20">
      <c r="A20" s="16" t="inlineStr">
        <is>
          <t>Standard</t>
        </is>
      </c>
      <c r="B20" s="16" t="inlineStr">
        <is>
          <t>Role in GAIA</t>
        </is>
      </c>
      <c r="C20" s="74" t="n"/>
      <c r="D20" s="74" t="n"/>
      <c r="E20" s="75" t="n"/>
    </row>
    <row r="21" ht="28" customHeight="1">
      <c r="A21" s="10" t="inlineStr">
        <is>
          <t>ISO/IEC 21031:2024 — Software Carbon Intensity (SCI)</t>
        </is>
      </c>
      <c r="B21" s="26" t="inlineStr">
        <is>
          <t>the carbon-rate-per-functional-unit specification; every GAIA result restates as an SCI score (E, I, M, R map one-to-one).</t>
        </is>
      </c>
      <c r="C21" s="74" t="n"/>
      <c r="D21" s="74" t="n"/>
      <c r="E21" s="75" t="n"/>
    </row>
    <row r="22" ht="28" customHeight="1">
      <c r="A22" s="10" t="inlineStr">
        <is>
          <t>SCI for AI (Green Software Foundation)</t>
        </is>
      </c>
      <c r="B22" s="26" t="inlineStr">
        <is>
          <t>the AI extension of SCI; GAIA's Assess module is an implementation of it.</t>
        </is>
      </c>
      <c r="C22" s="74" t="n"/>
      <c r="D22" s="74" t="n"/>
      <c r="E22" s="75" t="n"/>
    </row>
    <row r="23" ht="28" customHeight="1">
      <c r="A23" s="10" t="inlineStr">
        <is>
          <t>ISO 14040 / 14044</t>
        </is>
      </c>
      <c r="B23" s="26" t="inlineStr">
        <is>
          <t>life-cycle assessment principles governing GAIA's system boundary and cut-off declarations.</t>
        </is>
      </c>
      <c r="C23" s="74" t="n"/>
      <c r="D23" s="74" t="n"/>
      <c r="E23" s="75" t="n"/>
    </row>
    <row r="24" ht="28" customHeight="1">
      <c r="A24" s="10" t="inlineStr">
        <is>
          <t>ISO/IEC TR 20226:2025</t>
        </is>
      </c>
      <c r="B24" s="26" t="inlineStr">
        <is>
          <t>environmental sustainability aspects of AI systems; GAIA implements its metric categories in runnable form.</t>
        </is>
      </c>
      <c r="C24" s="74" t="n"/>
      <c r="D24" s="74" t="n"/>
      <c r="E24" s="75" t="n"/>
    </row>
    <row r="25" ht="28" customHeight="1">
      <c r="A25" s="10" t="inlineStr">
        <is>
          <t>ITU-T L.1410</t>
        </is>
      </c>
      <c r="B25" s="26" t="inlineStr">
        <is>
          <t>ICT-sector LCA boundary and allocation rules that GAIA's scope declarations follow.</t>
        </is>
      </c>
      <c r="C25" s="74" t="n"/>
      <c r="D25" s="74" t="n"/>
      <c r="E25" s="75" t="n"/>
    </row>
    <row r="26" ht="28" customHeight="1">
      <c r="A26" s="10" t="inlineStr">
        <is>
          <t>ITU-T L.1801</t>
        </is>
      </c>
      <c r="B26" s="26" t="inlineStr">
        <is>
          <t>guidelines for assessing the environmental impact of AI systems; GAIA is the no-code instrument that executes them.</t>
        </is>
      </c>
      <c r="C26" s="74" t="n"/>
      <c r="D26" s="74" t="n"/>
      <c r="E26" s="75" t="n"/>
    </row>
    <row r="27" ht="28" customHeight="1">
      <c r="A27" s="10" t="inlineStr">
        <is>
          <t>AFNOR SPEC 2314 — Frugal AI</t>
        </is>
      </c>
      <c r="B27" s="26" t="inlineStr">
        <is>
          <t>source of the necessity / right-sizing / token-discipline frugality check ("question the need").</t>
        </is>
      </c>
      <c r="C27" s="74" t="n"/>
      <c r="D27" s="74" t="n"/>
      <c r="E27" s="75" t="n"/>
    </row>
    <row r="28" ht="28" customHeight="1">
      <c r="A28" s="10" t="inlineStr">
        <is>
          <t>GHG Protocol — Scope 2 Guidance</t>
        </is>
      </c>
      <c r="B28" s="26" t="inlineStr">
        <is>
          <t>dual location- and market-based carbon reporting, never blended; GAIA totals feed Scope 2/3 inventory line items.</t>
        </is>
      </c>
      <c r="C28" s="74" t="n"/>
      <c r="D28" s="74" t="n"/>
      <c r="E28" s="75" t="n"/>
    </row>
    <row r="29" ht="28" customHeight="1">
      <c r="A29" s="10" t="inlineStr">
        <is>
          <t>EU AI Act — Art. 53 and Annex XI</t>
        </is>
      </c>
      <c r="B29" s="26" t="inlineStr">
        <is>
          <t>energy-documentation duties for general-purpose AI providers; GAIA's disclosure template is structured so provider answers slot in.</t>
        </is>
      </c>
      <c r="C29" s="74" t="n"/>
      <c r="D29" s="74" t="n"/>
      <c r="E29" s="75" t="n"/>
    </row>
    <row r="30" ht="28" customHeight="1">
      <c r="A30" s="10" t="inlineStr">
        <is>
          <t>EU Energy Efficiency Directive — data-centre reporting</t>
        </is>
      </c>
      <c r="B30" s="26" t="inlineStr">
        <is>
          <t>facility-level PUE and WUE reporting that makes GAIA's facility profiles verifiable for EU-hosted workloads.</t>
        </is>
      </c>
      <c r="C30" s="74" t="n"/>
      <c r="D30" s="74" t="n"/>
      <c r="E30" s="75" t="n"/>
    </row>
  </sheetData>
  <mergeCells count="12">
    <mergeCell ref="B23:E23"/>
    <mergeCell ref="B26:E26"/>
    <mergeCell ref="B27:E27"/>
    <mergeCell ref="B21:E21"/>
    <mergeCell ref="B30:E30"/>
    <mergeCell ref="B29:E29"/>
    <mergeCell ref="B25:E25"/>
    <mergeCell ref="B24:E24"/>
    <mergeCell ref="B20:E20"/>
    <mergeCell ref="B28:E28"/>
    <mergeCell ref="A17:E17"/>
    <mergeCell ref="B22:E2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42" customWidth="1" min="3" max="3"/>
    <col width="66" customWidth="1" min="4" max="4"/>
  </cols>
  <sheetData>
    <row r="1">
      <c r="A1" s="16" t="inlineStr">
        <is>
          <t>Framework</t>
        </is>
      </c>
      <c r="B1" s="16" t="inlineStr">
        <is>
          <t>Element</t>
        </is>
      </c>
      <c r="C1" s="16" t="inlineStr">
        <is>
          <t>What it asks</t>
        </is>
      </c>
      <c r="D1" s="16" t="inlineStr">
        <is>
          <t>GAIA output that populates it</t>
        </is>
      </c>
    </row>
    <row r="2">
      <c r="A2" s="26" t="inlineStr">
        <is>
          <t>UN SDG 6 — Clean water and sanitation</t>
        </is>
      </c>
      <c r="B2" s="26" t="inlineStr">
        <is>
          <t>Target 6.4</t>
        </is>
      </c>
      <c r="C2" s="26" t="inlineStr">
        <is>
          <t>Substantially increase water-use efficiency across all sectors</t>
        </is>
      </c>
      <c r="D2" s="26" t="inlineStr">
        <is>
          <t>Water intensity per functional unit (L/request, L/1M tokens) from the two-path model; trend across periods in the Usage Log</t>
        </is>
      </c>
    </row>
    <row r="3">
      <c r="A3" s="26" t="inlineStr">
        <is>
          <t>UN SDG 7 — Affordable and clean energy</t>
        </is>
      </c>
      <c r="B3" s="26" t="inlineStr">
        <is>
          <t>Target 7.3</t>
        </is>
      </c>
      <c r="C3" s="26" t="inlineStr">
        <is>
          <t>Double the global rate of improvement in energy efficiency</t>
        </is>
      </c>
      <c r="D3" s="26" t="inlineStr">
        <is>
          <t>The A–E grade is an energy-intensity rating per task class; Module A' intensity-reduction targets track 7.3 directly</t>
        </is>
      </c>
    </row>
    <row r="4">
      <c r="A4" s="26" t="inlineStr">
        <is>
          <t>UN SDG 7 — Affordable and clean energy</t>
        </is>
      </c>
      <c r="B4" s="26" t="inlineStr">
        <is>
          <t>Target 7.2</t>
        </is>
      </c>
      <c r="C4" s="26" t="inlineStr">
        <is>
          <t>Increase the share of renewable energy</t>
        </is>
      </c>
      <c r="D4" s="26" t="inlineStr">
        <is>
          <t>Market-based CI input and the low-carbon-region lever document the renewable share of AI electricity</t>
        </is>
      </c>
    </row>
    <row r="5">
      <c r="A5" s="26" t="inlineStr">
        <is>
          <t>UN SDG 8 — Decent work and economic growth</t>
        </is>
      </c>
      <c r="B5" s="26" t="inlineStr">
        <is>
          <t>Target 8.4</t>
        </is>
      </c>
      <c r="C5" s="26" t="inlineStr">
        <is>
          <t>Improve resource efficiency; decouple growth from environmental degradation</t>
        </is>
      </c>
      <c r="D5" s="26" t="inlineStr">
        <is>
          <t>Rates-before-totals (P4): footprint per task outcome (R4) is a decoupling metric — AI output vs. resources consumed</t>
        </is>
      </c>
    </row>
    <row r="6">
      <c r="A6" s="26" t="inlineStr">
        <is>
          <t>UN SDG 9 — Industry innovation and infrastructure</t>
        </is>
      </c>
      <c r="B6" s="26" t="inlineStr">
        <is>
          <t>Target 9.4</t>
        </is>
      </c>
      <c r="C6" s="26" t="inlineStr">
        <is>
          <t>Upgrade infrastructure for sustainability and resource-use efficiency</t>
        </is>
      </c>
      <c r="D6" s="26" t="inlineStr">
        <is>
          <t>Mitigation levers 1, 2, 8 (right-sizing, reasoning budgets, newer accelerators) with measured effect sizes</t>
        </is>
      </c>
    </row>
    <row r="7">
      <c r="A7" s="26" t="inlineStr">
        <is>
          <t>UN SDG 12 — Responsible consumption and production</t>
        </is>
      </c>
      <c r="B7" s="26" t="inlineStr">
        <is>
          <t>Target 12.2</t>
        </is>
      </c>
      <c r="C7" s="26" t="inlineStr">
        <is>
          <t>Sustainable management and efficient use of natural resources</t>
        </is>
      </c>
      <c r="D7" s="26" t="inlineStr">
        <is>
          <t>The full Ground→Assess inventory: an auditable account of energy and water consumed by AI use</t>
        </is>
      </c>
    </row>
    <row r="8">
      <c r="A8" s="26" t="inlineStr">
        <is>
          <t>UN SDG 12 — Responsible consumption and production</t>
        </is>
      </c>
      <c r="B8" s="26" t="inlineStr">
        <is>
          <t>Target 12.6</t>
        </is>
      </c>
      <c r="C8" s="26" t="inlineStr">
        <is>
          <t>Encourage companies to integrate sustainability information into reporting</t>
        </is>
      </c>
      <c r="D8" s="26" t="inlineStr">
        <is>
          <t>The GAIA disclosure template (FRAMEWORK.md §8), designed to feed GRI/ESRS/IFRS reports</t>
        </is>
      </c>
    </row>
    <row r="9">
      <c r="A9" s="26" t="inlineStr">
        <is>
          <t>UN SDG 13 — Climate action</t>
        </is>
      </c>
      <c r="B9" s="26" t="inlineStr">
        <is>
          <t>Targets 13.2 / 13.3</t>
        </is>
      </c>
      <c r="C9" s="26" t="inlineStr">
        <is>
          <t>Integrate climate measures into policies and planning; improve capacity</t>
        </is>
      </c>
      <c r="D9" s="26" t="inlineStr">
        <is>
          <t>Dual-reported carbon totals and intensities; evidence-ranked reduction plan; SCI/GHGP restatement</t>
        </is>
      </c>
    </row>
    <row r="10">
      <c r="A10" s="26" t="inlineStr">
        <is>
          <t>GRI Standards</t>
        </is>
      </c>
      <c r="B10" s="26" t="inlineStr">
        <is>
          <t>GRI 302-1</t>
        </is>
      </c>
      <c r="C10" s="26" t="inlineStr">
        <is>
          <t>Energy consumption within the organization</t>
        </is>
      </c>
      <c r="D10" s="26" t="inlineStr">
        <is>
          <t>Monthly kWh of self-hosted AI (E_month)</t>
        </is>
      </c>
    </row>
    <row r="11">
      <c r="A11" s="26" t="inlineStr">
        <is>
          <t>GRI Standards</t>
        </is>
      </c>
      <c r="B11" s="26" t="inlineStr">
        <is>
          <t>GRI 302-2</t>
        </is>
      </c>
      <c r="C11" s="26" t="inlineStr">
        <is>
          <t>Energy consumption outside the organization</t>
        </is>
      </c>
      <c r="D11" s="26" t="inlineStr">
        <is>
          <t>Monthly kWh of API/cloud AI use</t>
        </is>
      </c>
    </row>
    <row r="12">
      <c r="A12" s="26" t="inlineStr">
        <is>
          <t>GRI Standards</t>
        </is>
      </c>
      <c r="B12" s="26" t="inlineStr">
        <is>
          <t>GRI 302-3</t>
        </is>
      </c>
      <c r="C12" s="26" t="inlineStr">
        <is>
          <t>Energy intensity</t>
        </is>
      </c>
      <c r="D12" s="26" t="inlineStr">
        <is>
          <t>Wh per functional unit (R1–R4)</t>
        </is>
      </c>
    </row>
    <row r="13">
      <c r="A13" s="26" t="inlineStr">
        <is>
          <t>GRI Standards</t>
        </is>
      </c>
      <c r="B13" s="26" t="inlineStr">
        <is>
          <t>GRI 302-4</t>
        </is>
      </c>
      <c r="C13" s="26" t="inlineStr">
        <is>
          <t>Reduction of energy consumption</t>
        </is>
      </c>
      <c r="D13" s="26" t="inlineStr">
        <is>
          <t>Before/after intensity from the mitigation plan</t>
        </is>
      </c>
    </row>
    <row r="14">
      <c r="A14" s="26" t="inlineStr">
        <is>
          <t>GRI Standards</t>
        </is>
      </c>
      <c r="B14" s="26" t="inlineStr">
        <is>
          <t>GRI 303-5</t>
        </is>
      </c>
      <c r="C14" s="26" t="inlineStr">
        <is>
          <t>Water consumption</t>
        </is>
      </c>
      <c r="D14" s="26" t="inlineStr">
        <is>
          <t>On-site path (E_IT × WUE) for owned facilities; two-path total as value-chain context</t>
        </is>
      </c>
    </row>
    <row r="15">
      <c r="A15" s="26" t="inlineStr">
        <is>
          <t>GRI Standards</t>
        </is>
      </c>
      <c r="B15" s="26" t="inlineStr">
        <is>
          <t>GRI 305-2</t>
        </is>
      </c>
      <c r="C15" s="26" t="inlineStr">
        <is>
          <t>Energy indirect (Scope 2) GHG emissions</t>
        </is>
      </c>
      <c r="D15" s="26" t="inlineStr">
        <is>
          <t>Location- AND market-based carbon of self-hosted deployments, reported separately as GRI requires</t>
        </is>
      </c>
    </row>
    <row r="16">
      <c r="A16" s="26" t="inlineStr">
        <is>
          <t>GRI Standards</t>
        </is>
      </c>
      <c r="B16" s="26" t="inlineStr">
        <is>
          <t>GRI 305-3</t>
        </is>
      </c>
      <c r="C16" s="26" t="inlineStr">
        <is>
          <t>Other indirect (Scope 3) GHG emissions</t>
        </is>
      </c>
      <c r="D16" s="26" t="inlineStr">
        <is>
          <t>API-use carbon (categories 1/11 logic per arXiv:2606.10660) plus the embodied adder</t>
        </is>
      </c>
    </row>
    <row r="17">
      <c r="A17" s="26" t="inlineStr">
        <is>
          <t>GRI Standards</t>
        </is>
      </c>
      <c r="B17" s="26" t="inlineStr">
        <is>
          <t>GRI 305-4</t>
        </is>
      </c>
      <c r="C17" s="26" t="inlineStr">
        <is>
          <t>GHG emissions intensity</t>
        </is>
      </c>
      <c r="D17" s="26" t="inlineStr">
        <is>
          <t>kg CO2e per functional unit</t>
        </is>
      </c>
    </row>
    <row r="18">
      <c r="A18" s="26" t="inlineStr">
        <is>
          <t>ESRS (CSRD)</t>
        </is>
      </c>
      <c r="B18" s="26" t="inlineStr">
        <is>
          <t>E1-5</t>
        </is>
      </c>
      <c r="C18" s="26" t="inlineStr">
        <is>
          <t>Energy consumption and mix</t>
        </is>
      </c>
      <c r="D18" s="26" t="inlineStr">
        <is>
          <t>E_month split by deployment path; market CI documents the mix claim</t>
        </is>
      </c>
    </row>
    <row r="19">
      <c r="A19" s="26" t="inlineStr">
        <is>
          <t>ESRS (CSRD)</t>
        </is>
      </c>
      <c r="B19" s="26" t="inlineStr">
        <is>
          <t>E1-6</t>
        </is>
      </c>
      <c r="C19" s="26" t="inlineStr">
        <is>
          <t>Gross Scopes 1–3 GHG emissions</t>
        </is>
      </c>
      <c r="D19" s="26" t="inlineStr">
        <is>
          <t>Both Scope-2 methods required by ESRS are native to GAIA (P6 dual reporting)</t>
        </is>
      </c>
    </row>
    <row r="20">
      <c r="A20" s="26" t="inlineStr">
        <is>
          <t>ESRS (CSRD)</t>
        </is>
      </c>
      <c r="B20" s="26" t="inlineStr">
        <is>
          <t>E1-4</t>
        </is>
      </c>
      <c r="C20" s="26" t="inlineStr">
        <is>
          <t>Targets related to climate change</t>
        </is>
      </c>
      <c r="D20" s="26" t="inlineStr">
        <is>
          <t>Intensity-reduction targets from Module A'</t>
        </is>
      </c>
    </row>
    <row r="21">
      <c r="A21" s="26" t="inlineStr">
        <is>
          <t>ESRS (CSRD)</t>
        </is>
      </c>
      <c r="B21" s="26" t="inlineStr">
        <is>
          <t>E3-4</t>
        </is>
      </c>
      <c r="C21" s="26" t="inlineStr">
        <is>
          <t>Water consumption</t>
        </is>
      </c>
      <c r="D21" s="26" t="inlineStr">
        <is>
          <t>Two-path water total with the on-site/off-site split</t>
        </is>
      </c>
    </row>
    <row r="22">
      <c r="A22" s="26" t="inlineStr">
        <is>
          <t>IFRS S2 (ISSB)</t>
        </is>
      </c>
      <c r="B22" s="26" t="inlineStr">
        <is>
          <t>Cross-industry metrics</t>
        </is>
      </c>
      <c r="C22" s="26" t="inlineStr">
        <is>
          <t>Scopes 1–3, entity-specific metrics</t>
        </is>
      </c>
      <c r="D22" s="26" t="inlineStr">
        <is>
          <t>GAIA totals as the AI contribution to Scope 2/3; per-FU intensities as entity-specific metrics</t>
        </is>
      </c>
    </row>
    <row r="23">
      <c r="A23" s="26" t="inlineStr">
        <is>
          <t>CDP</t>
        </is>
      </c>
      <c r="B23" s="26" t="inlineStr">
        <is>
          <t>Climate &amp; water questionnaires</t>
        </is>
      </c>
      <c r="C23" s="26" t="inlineStr">
        <is>
          <t>Quantitative fields + methodology disclosure</t>
        </is>
      </c>
      <c r="D23" s="26" t="inlineStr">
        <is>
          <t>Carbon and water modules populate the fields; the data-quality statement answers methodology questions honestly</t>
        </is>
      </c>
    </row>
    <row r="24">
      <c r="A24" s="26" t="inlineStr">
        <is>
          <t>SBTi</t>
        </is>
      </c>
      <c r="B24" s="26" t="inlineStr">
        <is>
          <t>Near-term Scope 2/3 targets</t>
        </is>
      </c>
      <c r="C24" s="26" t="inlineStr">
        <is>
          <t>Validated absolute or intensity trajectories</t>
        </is>
      </c>
      <c r="D24" s="26" t="inlineStr">
        <is>
          <t>GAIA supplies the AI-use baseline and tracks intensity; totals feed target-setting (grades are not targets)</t>
        </is>
      </c>
    </row>
    <row r="25">
      <c r="A25" s="26" t="inlineStr">
        <is>
          <t>EU AI Act</t>
        </is>
      </c>
      <c r="B25" s="26" t="inlineStr">
        <is>
          <t>Art. 40/51, Annex XI</t>
        </is>
      </c>
      <c r="C25" s="26" t="inlineStr">
        <is>
          <t>GPAI energy documentation</t>
        </is>
      </c>
      <c r="D25" s="26" t="inlineStr">
        <is>
          <t>Disclosure-template provider fields accept Annex XI data as it becomes available</t>
        </is>
      </c>
    </row>
    <row r="26">
      <c r="A26" s="26" t="inlineStr">
        <is>
          <t>UN Global Compact</t>
        </is>
      </c>
      <c r="B26" s="26" t="inlineStr">
        <is>
          <t>Principles 7–9</t>
        </is>
      </c>
      <c r="C26" s="26" t="inlineStr">
        <is>
          <t>Precaution, environmental responsibility, clean technology</t>
        </is>
      </c>
      <c r="D26" s="26" t="inlineStr">
        <is>
          <t>The GAIA report evidences Principle 7 (precautionary quantification) and 9 (diffusion of efficient technology via the lever catalogue)</t>
        </is>
      </c>
    </row>
    <row r="28" ht="45" customHeight="1">
      <c r="A28" s="12" t="inlineStr">
        <is>
          <t>Boundary: GAIA measures the environmental COST of AI use; whether an AI application advances an SDG ('AI for Good') is out of scope — the same boundary ISO/IEC TR 20226:2025 draws. SDG claims in a conforming report must trace to the outputs listed here (P1: traceable or absent). Full capability matrix and gap analysis: COMPARISON.md in the repository.</t>
        </is>
      </c>
    </row>
  </sheetData>
  <mergeCells count="1">
    <mergeCell ref="A28:D28"/>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6"/>
  <sheetViews>
    <sheetView showGridLines="0" workbookViewId="0">
      <selection activeCell="A1" sqref="A1"/>
    </sheetView>
  </sheetViews>
  <sheetFormatPr baseColWidth="8" defaultRowHeight="15"/>
  <cols>
    <col width="12" customWidth="1" min="1" max="1"/>
    <col width="12" customWidth="1" min="2" max="2"/>
    <col width="110" customWidth="1" min="3" max="3"/>
  </cols>
  <sheetData>
    <row r="1">
      <c r="A1" s="16" t="inlineStr">
        <is>
          <t>Version</t>
        </is>
      </c>
      <c r="B1" s="16" t="inlineStr">
        <is>
          <t>Date</t>
        </is>
      </c>
      <c r="C1" s="16" t="inlineStr">
        <is>
          <t>Changes</t>
        </is>
      </c>
    </row>
    <row r="2" ht="150" customHeight="1">
      <c r="A2" s="10" t="inlineStr">
        <is>
          <t>2.2.0</t>
        </is>
      </c>
      <c r="B2" s="26" t="inlineStr">
        <is>
          <t>2026-09-16</t>
        </is>
      </c>
      <c r="C2" s="26" t="inlineStr">
        <is>
          <t>GAIA 2.2 — models and interface release. The model database grows from 26 to 135 rows across 33 providers, 85 of them open-weight, with new columns for openness, licence, architecture, total and ACTIVE parameters, context window, release date and status. Tier-4 rows are DERIVED from active parameters (e_out = 2·N_active/(eta·u·3600)·S) and the derivation is recorded in each row's Basis; a test re-derives them and fails on drift. Closed models with no parameter disclosure use documented class anchors (§4.5) — two rows sharing an anchor means nothing published distinguishes them, not that they are equally efficient. NEW: cached input tokens enter the energy equation (input 10 on the Assessment sheet); a 'Scenario Compare' sheet puts four deployment options side by side; the mitigation catalogue grows to 10 levers, two of which reduce UNCERTAINTY rather than consumption and say so. Superseded models are kept with Status = legacy for year-on-year comparison. The web estimator is now generated from the same CSV tables as this workbook, and a cross-engine test checks that the reference, the JavaScript and these Excel formulas agree. Methodology additions are documented against P1–P7; see CHANGELOG.md.</t>
        </is>
      </c>
    </row>
    <row r="3" ht="150" customHeight="1">
      <c r="A3" s="10" t="inlineStr">
        <is>
          <t>2.1.0</t>
        </is>
      </c>
      <c r="B3" s="26" t="inlineStr">
        <is>
          <t>2026-07-06</t>
        </is>
      </c>
      <c r="C3" s="26" t="inlineStr">
        <is>
          <t>GAIA 2.1 — comparability release. New 'SDG &amp; Reporting Map' sheet maps GAIA outputs onto UN SDG targets (6.4, 7.2/7.3, 8.4, 9.4, 12.2/12.6, 13.2/13.3), GRI 302/303/305, ESRS E1/E3, IFRS S2, CDP, SBTi, EU AI Act Annex XI, and UN Global Compact Principles 7–9. Framework Comparison extended with ISO/IEC TR 20226:2025 and ITU-T L.1801 (02/2026). Full capability matrix and gap-analysis roadmap: COMPARISON.md. Methodology unchanged (minor version per §9).</t>
        </is>
      </c>
    </row>
    <row r="4" ht="150" customHeight="1">
      <c r="A4" s="10" t="inlineStr">
        <is>
          <t>2.0.0</t>
        </is>
      </c>
      <c r="B4" s="26" t="inlineStr">
        <is>
          <t>2026-06</t>
        </is>
      </c>
      <c r="C4" s="26" t="inlineStr">
        <is>
          <t>GAIA 2.0 — full science-based rebuild. The v1 composite Environmental Score (dimensionally incoherent), Benefit Score (subjective weights) and 'Prohibited' decision matrix are REMOVED; replaced by task-conditioned A–E energy grades on fixed logarithmic bands, a frugality flag (F0/F1/F2+) reported beside the grade, and grade×flag guidance. Per-model water/carbon columns abolished (P3): the model database stores energy only, with source, vintage, tier and bounds; carbon and water are computed from separate sourced Region/Facility tables. Every result is low/central/high (P2); dual location/market carbon reporting (P6); embodied adder (§4.6); two-path water model (§4.4). The workbook is now GENERATED by build_workbook.py from data/*.csv — never hand-edited (§9). Full component-by-component audit of what was kept, rebuilt, and removed: see DECISIONS.md in the repository.</t>
        </is>
      </c>
    </row>
    <row r="6">
      <c r="C6" s="12" t="inlineStr">
        <is>
          <t>Versioning is semantic (§9): factor-table refreshes bump the minor version; methodology changes bump the major version and require a documented rationale against P1–P7. Errors are fixed in the data tables with a changelog entry, never silently.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GAIA build_workbook.py</dc:creator>
  <dc:title>GAIA Assessment Tool</dc:title>
  <dc:description>Generated from data/*.csv by build_workbook.py — version 2.2.0 (2026-09-16)</dc:description>
  <dcterms:created xsi:type="dcterms:W3CDTF">2026-09-16T00:00:00Z</dcterms:created>
  <dcterms:modified xsi:type="dcterms:W3CDTF">2026-09-16T13:13:47Z</dcterms:modified>
</cp:coreProperties>
</file>