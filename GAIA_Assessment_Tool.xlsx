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ssessment" sheetId="2" state="visible" r:id="rId2"/>
    <sheet name="Engine" sheetId="3" state="visible" r:id="rId3"/>
    <sheet name="Model Database" sheetId="4" state="visible" r:id="rId4"/>
    <sheet name="Region Factors" sheetId="5" state="visible" r:id="rId5"/>
    <sheet name="Facility Profiles" sheetId="6" state="visible" r:id="rId6"/>
    <sheet name="Grading" sheetId="7" state="visible" r:id="rId7"/>
    <sheet name="Mitigation" sheetId="8" state="visible" r:id="rId8"/>
    <sheet name="Usage Log" sheetId="9" state="visible" r:id="rId9"/>
    <sheet name="Methodology &amp; Sources" sheetId="10" state="visible" r:id="rId10"/>
    <sheet name="Framework Comparison" sheetId="11" state="visible" r:id="rId11"/>
    <sheet name="SDG &amp; Reporting Map" sheetId="12" state="visible" r:id="rId12"/>
    <sheet name="Change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#,##0.0"/>
  </numFmts>
  <fonts count="15">
    <font>
      <name val="Calibri"/>
      <family val="2"/>
      <color theme="1"/>
      <sz val="11"/>
      <scheme val="minor"/>
    </font>
    <font>
      <name val="Calibri"/>
      <b val="1"/>
      <color rgb="001F4E42"/>
      <sz val="20"/>
    </font>
    <font>
      <name val="Calibri"/>
      <i val="1"/>
      <color rgb="00595959"/>
      <sz val="10"/>
    </font>
    <font>
      <name val="Calibri"/>
      <sz val="11"/>
    </font>
    <font>
      <name val="Calibri"/>
      <b val="1"/>
      <color rgb="001F4E42"/>
      <sz val="13"/>
    </font>
    <font>
      <name val="Calibri"/>
      <b val="1"/>
      <color rgb="001F4E42"/>
      <sz val="16"/>
    </font>
    <font>
      <name val="Calibri"/>
      <b val="1"/>
      <color rgb="00FFFFFF"/>
      <sz val="11"/>
    </font>
    <font>
      <name val="Calibri"/>
      <b val="1"/>
      <sz val="11"/>
    </font>
    <font>
      <name val="Calibri"/>
      <color rgb="00595959"/>
      <sz val="9"/>
    </font>
    <font>
      <name val="Calibri"/>
      <b val="1"/>
      <sz val="28"/>
    </font>
    <font>
      <name val="Calibri"/>
      <b val="1"/>
      <sz val="14"/>
    </font>
    <font>
      <b val="1"/>
      <color rgb="00FFFFFF"/>
    </font>
    <font>
      <b val="1"/>
      <color rgb="00000000"/>
    </font>
    <font>
      <i val="1"/>
      <color rgb="00808080"/>
    </font>
    <font>
      <name val="Consolas"/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1F4E42"/>
      </patternFill>
    </fill>
    <fill>
      <patternFill patternType="solid">
        <fgColor rgb="00F2F2F2"/>
      </patternFill>
    </fill>
    <fill>
      <patternFill patternType="solid">
        <fgColor rgb="003D6B5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E7B34"/>
      </patternFill>
    </fill>
    <fill>
      <patternFill patternType="solid">
        <fgColor rgb="0070AD47"/>
      </patternFill>
    </fill>
    <fill>
      <patternFill patternType="solid">
        <fgColor rgb="00FFD966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7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" fontId="3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2" fontId="3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top" wrapText="1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7" fontId="3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6" borderId="1" pivotButton="0" quotePrefix="0" xfId="0"/>
    <xf numFmtId="0" fontId="0" fillId="6" borderId="1" pivotButton="0" quotePrefix="0" xfId="0"/>
    <xf numFmtId="0" fontId="3" fillId="3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top"/>
    </xf>
    <xf numFmtId="166" fontId="3" fillId="0" borderId="1" applyAlignment="1" pivotButton="0" quotePrefix="0" xfId="0">
      <alignment horizontal="center" vertical="top"/>
    </xf>
    <xf numFmtId="2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1" fillId="9" borderId="1" applyAlignment="1" pivotButton="0" quotePrefix="0" xfId="0">
      <alignment horizontal="center" vertical="top"/>
    </xf>
    <xf numFmtId="0" fontId="11" fillId="10" borderId="1" applyAlignment="1" pivotButton="0" quotePrefix="0" xfId="0">
      <alignment horizontal="center" vertical="top"/>
    </xf>
    <xf numFmtId="0" fontId="12" fillId="11" borderId="1" applyAlignment="1" pivotButton="0" quotePrefix="0" xfId="0">
      <alignment horizontal="center" vertical="top"/>
    </xf>
    <xf numFmtId="0" fontId="11" fillId="12" borderId="1" applyAlignment="1" pivotButton="0" quotePrefix="0" xfId="0">
      <alignment horizontal="center" vertical="top"/>
    </xf>
    <xf numFmtId="0" fontId="11" fillId="13" borderId="1" applyAlignment="1" pivotButton="0" quotePrefix="0" xfId="0">
      <alignment horizontal="center" vertical="top"/>
    </xf>
    <xf numFmtId="0" fontId="7" fillId="0" borderId="0" pivotButton="0" quotePrefix="0" xfId="0"/>
    <xf numFmtId="0" fontId="13" fillId="2" borderId="1" pivotButton="0" quotePrefix="0" xfId="0"/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/>
    </xf>
    <xf numFmtId="0" fontId="7" fillId="0" borderId="1" pivotButton="0" quotePrefix="0" xfId="0"/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1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  <sz val="28"/>
      </font>
      <fill>
        <patternFill patternType="solid">
          <fgColor rgb="001E7B34"/>
        </patternFill>
      </fill>
    </dxf>
    <dxf>
      <font>
        <b val="1"/>
        <color rgb="00FFFFFF"/>
        <sz val="28"/>
      </font>
      <fill>
        <patternFill patternType="solid">
          <fgColor rgb="0070AD47"/>
        </patternFill>
      </fill>
    </dxf>
    <dxf>
      <font>
        <b val="1"/>
        <color rgb="00000000"/>
        <sz val="28"/>
      </font>
      <fill>
        <patternFill patternType="solid">
          <fgColor rgb="00FFD966"/>
        </patternFill>
      </fill>
    </dxf>
    <dxf>
      <font>
        <b val="1"/>
        <color rgb="00FFFFFF"/>
        <sz val="28"/>
      </font>
      <fill>
        <patternFill patternType="solid">
          <fgColor rgb="00ED7D31"/>
        </patternFill>
      </fill>
    </dxf>
    <dxf>
      <font>
        <b val="1"/>
        <color rgb="00FFFFFF"/>
        <sz val="28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GAIA 2.0 — Green AI Assessment Tool</t>
        </is>
      </c>
    </row>
    <row r="3">
      <c r="B3" s="2" t="inlineStr">
        <is>
          <t>Version 2.1.0 · 2026-07-06 · MIT License · Generated by build_workbook.py from data/*.csv — never hand-edited (FRAMEWORK.md §9)</t>
        </is>
      </c>
    </row>
    <row r="5">
      <c r="B5" s="3" t="inlineStr"/>
    </row>
    <row r="6">
      <c r="B6" s="4" t="inlineStr">
        <is>
          <t>What this tool is</t>
        </is>
      </c>
    </row>
    <row r="7">
      <c r="B7" s="3" t="inlineStr">
        <is>
          <t>GAIA answers three questions for an organization that USES AI (via APIs, hosted deployments, or self-hosted models): (1) how large is the environmental footprint of a use case — energy, carbon, and water — with uncertainty bounds and data provenance; (2) is that footprint reasonable for the task, graded against published measurements; (3) what should change, ranked by evidence. Method: Ground → Assess → Interpret → Act.</t>
        </is>
      </c>
    </row>
    <row r="8">
      <c r="B8" s="3" t="inlineStr"/>
    </row>
    <row r="9">
      <c r="B9" s="4" t="inlineStr">
        <is>
          <t>How to use it — 5 steps</t>
        </is>
      </c>
    </row>
    <row r="10">
      <c r="B10" s="3" t="inlineStr">
        <is>
          <t>1.  Open the Assessment sheet and pick your Model and Task class from the dropdowns.</t>
        </is>
      </c>
    </row>
    <row r="11">
      <c r="B11" s="3" t="inlineStr">
        <is>
          <t>2.  Enter your token profile (tokens in / out per request) and queries per month — class defaults are shown next to the inputs for reference.</t>
        </is>
      </c>
    </row>
    <row r="12">
      <c r="B12" s="3" t="inlineStr">
        <is>
          <t>3.  Choose the Facility profile and Hosting region (keep the honest defaults — 'Unknown (API default)' and 'Global average' — if you don't know).</t>
        </is>
      </c>
    </row>
    <row r="13">
      <c r="B13" s="3" t="inlineStr">
        <is>
          <t>4.  Answer the three frugality questions (necessity, right-sizing, token discipline) with Yes/No.</t>
        </is>
      </c>
    </row>
    <row r="14">
      <c r="B14" s="3" t="inlineStr">
        <is>
          <t>5.  Read the Results block: low/central/high energy, carbon (dual), and water; the efficiency grade and frugality flag; and the guidance line. Then pick levers on the Mitigation sheet. Track months on the Usage Log.</t>
        </is>
      </c>
    </row>
    <row r="15">
      <c r="B15" s="3" t="inlineStr"/>
    </row>
    <row r="16">
      <c r="B16" s="4" t="inlineStr">
        <is>
          <t>Color key</t>
        </is>
      </c>
    </row>
    <row r="17">
      <c r="B17" s="5" t="inlineStr">
        <is>
          <t xml:space="preserve">  Input cell — light yellow: the cells you edit (dropdowns or typed values)</t>
        </is>
      </c>
    </row>
    <row r="18">
      <c r="B18" s="6" t="inlineStr">
        <is>
          <t xml:space="preserve">  Computed cell — light blue: results calculated by the workbook; do not edit</t>
        </is>
      </c>
    </row>
    <row r="19">
      <c r="B19" s="3" t="inlineStr"/>
    </row>
    <row r="20">
      <c r="B20" s="4" t="inlineStr">
        <is>
          <t>One honest note about uncertainty (Principle P2)</t>
        </is>
      </c>
    </row>
    <row r="21">
      <c r="B21" s="3" t="inlineStr">
        <is>
          <t>Every result is a low/central/high interval, not a single number. The interval width comes from the data-quality tier of the chosen model row (×1.15 measured … ×3 modeled — see Methodology &amp; Sources). The bounds shown are energy-dominated; uncertainty in PUE, grid carbon intensity, WUE and EWIF adds beyond them. A point estimate without bounds would be pseudo-precision.</t>
        </is>
      </c>
    </row>
    <row r="22">
      <c r="B22" s="3" t="inlineStr"/>
    </row>
    <row r="23">
      <c r="B23" s="4" t="inlineStr">
        <is>
          <t>Where everything lives</t>
        </is>
      </c>
    </row>
    <row r="24">
      <c r="B24" s="3" t="inlineStr">
        <is>
          <t>Assessment = the one sheet you fill in.  Engine = every intermediate calculation, documented.  Model Database / Region Factors / Facility Profiles / Grading / Mitigation = the sourced data tables (from data/*.csv).  Usage Log = monthly tracking template.  Methodology &amp; Sources = equations, tiers, boundary, limitations, full source list.  Framework Comparison = how GAIA maps to SCI, GHG Protocol, AI Energy Score and others.  Changelog = version history.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5" customWidth="1" min="4" max="4"/>
    <col width="15" customWidth="1" min="5" max="5"/>
    <col width="46" customWidth="1" min="6" max="6"/>
  </cols>
  <sheetData>
    <row r="1">
      <c r="B1" s="7" t="inlineStr">
        <is>
          <t>GAIA 2.0 — AI Use-Case Assessment</t>
        </is>
      </c>
    </row>
    <row r="2">
      <c r="B2" s="2" t="inlineStr">
        <is>
          <t>Edit the yellow cells only. Blue cells are computed from the Engine sheet. All results are low / central / high (P2).</t>
        </is>
      </c>
    </row>
    <row r="3">
      <c r="B3" s="8" t="inlineStr">
        <is>
          <t>INPUTS</t>
        </is>
      </c>
      <c r="C3" s="9" t="n"/>
      <c r="D3" s="9" t="n"/>
      <c r="E3" s="9" t="n"/>
      <c r="F3" s="9" t="n"/>
    </row>
    <row r="4">
      <c r="B4" s="10" t="inlineStr">
        <is>
          <t>1 · Model</t>
        </is>
      </c>
      <c r="C4" s="11" t="inlineStr">
        <is>
          <t>GPT-4o</t>
        </is>
      </c>
      <c r="D4" s="12" t="inlineStr">
        <is>
          <t>Dropdown — full provenance in 'Model Database'</t>
        </is>
      </c>
    </row>
    <row r="5">
      <c r="B5" s="10" t="inlineStr">
        <is>
          <t>2 · Task class</t>
        </is>
      </c>
      <c r="C5" s="11" t="inlineStr">
        <is>
          <t>Standard</t>
        </is>
      </c>
      <c r="D5" s="12" t="inlineStr">
        <is>
          <t>L / S / H / R — definitions and bands in 'Grading'</t>
        </is>
      </c>
    </row>
    <row r="6">
      <c r="B6" s="10" t="inlineStr">
        <is>
          <t>3 · Tokens in (per request)</t>
        </is>
      </c>
      <c r="C6" s="13" t="n">
        <v>500</v>
      </c>
      <c r="D6" s="12">
        <f>IFERROR("Class default: "&amp;INDEX(Grading!$C$2:$C$5,MATCH($C$5,Grading!$A$2:$A$5,0)),"")</f>
        <v/>
      </c>
    </row>
    <row r="7">
      <c r="B7" s="10" t="inlineStr">
        <is>
          <t>4 · Tokens out (per request)</t>
        </is>
      </c>
      <c r="C7" s="13" t="n">
        <v>300</v>
      </c>
      <c r="D7" s="12">
        <f>IFERROR("Class default: "&amp;INDEX(Grading!$D$2:$D$5,MATCH($C$5,Grading!$A$2:$A$5,0)),"")</f>
        <v/>
      </c>
    </row>
    <row r="8">
      <c r="B8" s="10" t="inlineStr">
        <is>
          <t>5 · Queries per month</t>
        </is>
      </c>
      <c r="C8" s="14" t="n">
        <v>1000</v>
      </c>
      <c r="D8" s="12" t="inlineStr"/>
    </row>
    <row r="9">
      <c r="B9" s="10" t="inlineStr">
        <is>
          <t>6 · Facility profile</t>
        </is>
      </c>
      <c r="C9" s="11" t="inlineStr">
        <is>
          <t>Unknown (API default)</t>
        </is>
      </c>
      <c r="D9" s="12" t="inlineStr">
        <is>
          <t>PUE and WUE per profile in 'Facility Profiles'</t>
        </is>
      </c>
    </row>
    <row r="10">
      <c r="B10" s="10" t="inlineStr">
        <is>
          <t>7 · Hosting region</t>
        </is>
      </c>
      <c r="C10" s="11" t="inlineStr">
        <is>
          <t>Global average</t>
        </is>
      </c>
      <c r="D10" s="12" t="inlineStr">
        <is>
          <t>Grid CI and EWIF in 'Region Factors'; keep 'Global average' if unknown</t>
        </is>
      </c>
    </row>
    <row r="11">
      <c r="B11" s="10" t="inlineStr">
        <is>
          <t>8 · Embodied adder</t>
        </is>
      </c>
      <c r="C11" s="15" t="n">
        <v>0.25</v>
      </c>
      <c r="D11" s="12" t="inlineStr">
        <is>
          <t>Default 0.25 of location-based carbon; sensible range 0.10–0.50 (§4.6)</t>
        </is>
      </c>
    </row>
    <row r="12">
      <c r="B12" s="10" t="inlineStr">
        <is>
          <t>9 · Market-based CI (g CO2e/kWh) — optional</t>
        </is>
      </c>
      <c r="C12" s="13" t="n"/>
      <c r="D12" s="12" t="inlineStr">
        <is>
          <t>Leave blank unless your provider discloses a market-based factor; reported beside, never instead of, location-based (P6)</t>
        </is>
      </c>
    </row>
    <row r="13">
      <c r="B13" s="8" t="inlineStr">
        <is>
          <t>FRUGALITY CHECK (§5.3) — three auditable Yes/No questions</t>
        </is>
      </c>
      <c r="C13" s="9" t="n"/>
      <c r="D13" s="9" t="n"/>
      <c r="E13" s="9" t="n"/>
      <c r="F13" s="9" t="n"/>
    </row>
    <row r="14">
      <c r="B14" s="10" t="inlineStr">
        <is>
          <t>Q1 · Necessity — does the task need generative AI at all (vs. search, template, rules, or a human)?</t>
        </is>
      </c>
      <c r="C14" s="11" t="inlineStr">
        <is>
          <t>Yes</t>
        </is>
      </c>
      <c r="D14" s="12" t="inlineStr"/>
    </row>
    <row r="15">
      <c r="B15" s="10" t="inlineStr">
        <is>
          <t>Q2 · Right-sizing — has a model ≥1 capability class smaller been evaluated on this task, with documented quality results?</t>
        </is>
      </c>
      <c r="C15" s="11" t="inlineStr">
        <is>
          <t>Yes</t>
        </is>
      </c>
      <c r="D15" s="12" t="inlineStr"/>
    </row>
    <row r="16">
      <c r="B16" s="10" t="inlineStr">
        <is>
          <t>Q3 · Token discipline — are prompts, retrieval payloads and reasoning budgets bounded (max-token / thinking caps, caching)?</t>
        </is>
      </c>
      <c r="C16" s="11" t="inlineStr">
        <is>
          <t>Yes</t>
        </is>
      </c>
      <c r="D16" s="12" t="inlineStr"/>
    </row>
    <row r="18">
      <c r="B18" s="8" t="inlineStr">
        <is>
          <t>RESULTS — computed on the Engine sheet; do not edit</t>
        </is>
      </c>
      <c r="C18" s="9" t="n"/>
      <c r="D18" s="9" t="n"/>
      <c r="E18" s="9" t="n"/>
      <c r="F18" s="9" t="n"/>
    </row>
    <row r="19">
      <c r="B19" s="16" t="inlineStr">
        <is>
          <t>Metric</t>
        </is>
      </c>
      <c r="C19" s="16" t="inlineStr">
        <is>
          <t>Low</t>
        </is>
      </c>
      <c r="D19" s="16" t="inlineStr">
        <is>
          <t>Central</t>
        </is>
      </c>
      <c r="E19" s="16" t="inlineStr">
        <is>
          <t>High</t>
        </is>
      </c>
      <c r="F19" s="16" t="inlineStr">
        <is>
          <t>Unit / note</t>
        </is>
      </c>
    </row>
    <row r="20">
      <c r="B20" s="10" t="inlineStr">
        <is>
          <t>Energy per request</t>
        </is>
      </c>
      <c r="C20" s="17">
        <f>Engine!$B$47</f>
        <v/>
      </c>
      <c r="D20" s="17">
        <f>Engine!$B$38</f>
        <v/>
      </c>
      <c r="E20" s="17">
        <f>Engine!$B$48</f>
        <v/>
      </c>
      <c r="F20" s="18" t="inlineStr">
        <is>
          <t>Wh / request (full-stack: IT × PUE)</t>
        </is>
      </c>
    </row>
    <row r="21">
      <c r="B21" s="10" t="inlineStr">
        <is>
          <t>Energy per month</t>
        </is>
      </c>
      <c r="C21" s="19">
        <f>Engine!$B$49</f>
        <v/>
      </c>
      <c r="D21" s="19">
        <f>Engine!$B$40</f>
        <v/>
      </c>
      <c r="E21" s="19">
        <f>Engine!$B$50</f>
        <v/>
      </c>
      <c r="F21" s="18" t="inlineStr">
        <is>
          <t>kWh / month</t>
        </is>
      </c>
    </row>
    <row r="22">
      <c r="B22" s="10" t="inlineStr">
        <is>
          <t>Carbon — location-based</t>
        </is>
      </c>
      <c r="C22" s="19">
        <f>Engine!$B$51</f>
        <v/>
      </c>
      <c r="D22" s="19">
        <f>Engine!$B$41</f>
        <v/>
      </c>
      <c r="E22" s="19">
        <f>Engine!$B$52</f>
        <v/>
      </c>
      <c r="F22" s="18" t="inlineStr">
        <is>
          <t>kg CO2e / month (physical grid mix)</t>
        </is>
      </c>
    </row>
    <row r="23">
      <c r="B23" s="10" t="inlineStr">
        <is>
          <t>Carbon — market-based</t>
        </is>
      </c>
      <c r="C23" s="19">
        <f>Engine!$B$57</f>
        <v/>
      </c>
      <c r="D23" s="19">
        <f>Engine!$B$42</f>
        <v/>
      </c>
      <c r="E23" s="19">
        <f>Engine!$B$58</f>
        <v/>
      </c>
      <c r="F23" s="18" t="inlineStr">
        <is>
          <t>kg CO2e / month — 'not provided' unless input 9 is set (P6)</t>
        </is>
      </c>
    </row>
    <row r="24">
      <c r="B24" s="10" t="inlineStr">
        <is>
          <t>Embodied carbon</t>
        </is>
      </c>
      <c r="C24" s="19">
        <f>Engine!$B$53</f>
        <v/>
      </c>
      <c r="D24" s="19">
        <f>Engine!$B$43</f>
        <v/>
      </c>
      <c r="E24" s="19">
        <f>Engine!$B$54</f>
        <v/>
      </c>
      <c r="F24" s="18" t="inlineStr">
        <is>
          <t>kg CO2e / month = location-based × adder (§4.6)</t>
        </is>
      </c>
    </row>
    <row r="25">
      <c r="B25" s="10" t="inlineStr">
        <is>
          <t>Water (on-site + off-site)</t>
        </is>
      </c>
      <c r="C25" s="20">
        <f>Engine!$B$55</f>
        <v/>
      </c>
      <c r="D25" s="20">
        <f>Engine!$B$44</f>
        <v/>
      </c>
      <c r="E25" s="20">
        <f>Engine!$B$56</f>
        <v/>
      </c>
      <c r="F25" s="18" t="inlineStr">
        <is>
          <t>L / month (two-path model, §4.4)</t>
        </is>
      </c>
    </row>
    <row r="27">
      <c r="B27" s="10" t="inlineStr">
        <is>
          <t>EFFICIENCY GRADE — central Wh/request vs task-class bands (§5.2)</t>
        </is>
      </c>
      <c r="C27" s="21">
        <f>Engine!$B$61</f>
        <v/>
      </c>
      <c r="D27" s="22" t="n"/>
      <c r="E27" s="18" t="inlineStr">
        <is>
          <t>Frugality flag</t>
        </is>
      </c>
      <c r="F27" s="23">
        <f>Engine!$B$63</f>
        <v/>
      </c>
    </row>
    <row r="28">
      <c r="C28" s="22" t="n"/>
      <c r="D28" s="22" t="n"/>
      <c r="E28" s="18" t="inlineStr">
        <is>
          <t>Model data tier</t>
        </is>
      </c>
      <c r="F28" s="24">
        <f>Engine!$B$22</f>
        <v/>
      </c>
    </row>
    <row r="30" ht="30" customHeight="1">
      <c r="B30" s="10" t="inlineStr">
        <is>
          <t>GUIDANCE (§5.4 — grade × flag)</t>
        </is>
      </c>
      <c r="C30" s="25">
        <f>Engine!$B$64</f>
        <v/>
      </c>
      <c r="D30" s="22" t="n"/>
      <c r="E30" s="22" t="n"/>
      <c r="F30" s="22" t="n"/>
    </row>
    <row r="32">
      <c r="B32" s="8" t="inlineStr">
        <is>
          <t>REAL-WORLD EQUIVALENTS — communication aids, not results (sourced factors on Engine sheet)</t>
        </is>
      </c>
      <c r="C32" s="9" t="n"/>
      <c r="D32" s="9" t="n"/>
      <c r="E32" s="9" t="n"/>
      <c r="F32" s="9" t="n"/>
    </row>
    <row r="33">
      <c r="B33" s="26" t="inlineStr">
        <is>
          <t>≈ Hours of a 10 W LED bulb</t>
        </is>
      </c>
      <c r="C33" s="27">
        <f>Engine!$B$73</f>
        <v/>
      </c>
      <c r="D33" s="28" t="inlineStr">
        <is>
          <t>hours / month</t>
        </is>
      </c>
    </row>
    <row r="34">
      <c r="B34" s="26" t="inlineStr">
        <is>
          <t>≈ Smartphone full charges</t>
        </is>
      </c>
      <c r="C34" s="27">
        <f>Engine!$B$74</f>
        <v/>
      </c>
      <c r="D34" s="28" t="inlineStr">
        <is>
          <t>charges / month</t>
        </is>
      </c>
    </row>
    <row r="35">
      <c r="B35" s="26" t="inlineStr">
        <is>
          <t>≈ Km driven in an average petrol car</t>
        </is>
      </c>
      <c r="C35" s="27">
        <f>Engine!$B$75</f>
        <v/>
      </c>
      <c r="D35" s="28" t="inlineStr">
        <is>
          <t>km / month</t>
        </is>
      </c>
    </row>
    <row r="36">
      <c r="B36" s="26" t="inlineStr">
        <is>
          <t>≈ 8-minute showers</t>
        </is>
      </c>
      <c r="C36" s="27">
        <f>Engine!$B$78</f>
        <v/>
      </c>
      <c r="D36" s="28" t="inlineStr">
        <is>
          <t>showers / month</t>
        </is>
      </c>
    </row>
  </sheetData>
  <mergeCells count="14">
    <mergeCell ref="C27:D28"/>
    <mergeCell ref="D11:F11"/>
    <mergeCell ref="D14:F14"/>
    <mergeCell ref="D5:F5"/>
    <mergeCell ref="D4:F4"/>
    <mergeCell ref="D12:F12"/>
    <mergeCell ref="C30:F30"/>
    <mergeCell ref="D9:F9"/>
    <mergeCell ref="D7:F7"/>
    <mergeCell ref="D8:F8"/>
    <mergeCell ref="D6:F6"/>
    <mergeCell ref="D15:F15"/>
    <mergeCell ref="D16:F16"/>
    <mergeCell ref="D10:F10"/>
  </mergeCells>
  <conditionalFormatting sqref="C27:D28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"D"</formula>
    </cfRule>
    <cfRule type="cellIs" priority="5" operator="equal" dxfId="4">
      <formula>"E"</formula>
    </cfRule>
  </conditionalFormatting>
  <dataValidations count="6">
    <dataValidation sqref="C4" showDropDown="0" showInputMessage="0" showErrorMessage="0" allowBlank="1" type="list">
      <formula1>='Model Database'!$A$2:$A$27</formula1>
    </dataValidation>
    <dataValidation sqref="C5" showDropDown="0" showInputMessage="0" showErrorMessage="0" allowBlank="1" type="list">
      <formula1>=Grading!$A$2:$A$5</formula1>
    </dataValidation>
    <dataValidation sqref="C9" showDropDown="0" showInputMessage="0" showErrorMessage="0" allowBlank="1" type="list">
      <formula1>='Facility Profiles'!$A$2:$A$6</formula1>
    </dataValidation>
    <dataValidation sqref="C10" showDropDown="0" showInputMessage="0" showErrorMessage="0" allowBlank="1" type="list">
      <formula1>='Region Factors'!$A$2:$A$21</formula1>
    </dataValidation>
    <dataValidation sqref="C14:C16" showDropDown="0" showInputMessage="0" showErrorMessage="0" allowBlank="1" type="list">
      <formula1>"Yes,No"</formula1>
    </dataValidation>
    <dataValidation sqref="C11" showDropDown="0" showInputMessage="0" showErrorMessage="1" allowBlank="1" errorTitle="Embodied adder" error="Use a value between 0.10 and 0.50 (§4.6)" type="decimal" operator="between">
      <formula1>0.1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22" customWidth="1" min="3" max="3"/>
    <col width="95" customWidth="1" min="4" max="4"/>
  </cols>
  <sheetData>
    <row r="1">
      <c r="A1" s="7" t="inlineStr">
        <is>
          <t>GAIA 2.0 Engine — every intermediate calculation, documented</t>
        </is>
      </c>
    </row>
    <row r="2">
      <c r="A2" s="2" t="inlineStr">
        <is>
          <t>All Assessment results reference this sheet. Column D documents each formula in framework notation (FRAMEWORK.md §4–§5). Generated — do not edit.</t>
        </is>
      </c>
    </row>
    <row r="4">
      <c r="A4" s="29" t="inlineStr">
        <is>
          <t>1 · INPUTS (echoed from the Assessment sheet)</t>
        </is>
      </c>
      <c r="B4" s="30" t="n"/>
      <c r="C4" s="30" t="n"/>
      <c r="D4" s="30" t="n"/>
    </row>
    <row r="5">
      <c r="A5" s="10" t="inlineStr">
        <is>
          <t>Model</t>
        </is>
      </c>
      <c r="B5" s="31">
        <f>IF(Assessment!$C$4="","",Assessment!$C$4)</f>
        <v/>
      </c>
      <c r="C5" s="18" t="inlineStr"/>
      <c r="D5" s="18" t="inlineStr">
        <is>
          <t>Assessment input 1</t>
        </is>
      </c>
    </row>
    <row r="6">
      <c r="A6" s="10" t="inlineStr">
        <is>
          <t>Task class</t>
        </is>
      </c>
      <c r="B6" s="31">
        <f>IF(Assessment!$C$5="","",Assessment!$C$5)</f>
        <v/>
      </c>
      <c r="C6" s="18" t="inlineStr"/>
      <c r="D6" s="18" t="inlineStr">
        <is>
          <t>Assessment input 2</t>
        </is>
      </c>
    </row>
    <row r="7">
      <c r="A7" s="10" t="inlineStr">
        <is>
          <t>Tokens in per request (T_in)</t>
        </is>
      </c>
      <c r="B7" s="31">
        <f>Assessment!$C$6</f>
        <v/>
      </c>
      <c r="C7" s="18" t="inlineStr">
        <is>
          <t>tokens</t>
        </is>
      </c>
      <c r="D7" s="18" t="inlineStr">
        <is>
          <t>Assessment input 3</t>
        </is>
      </c>
    </row>
    <row r="8">
      <c r="A8" s="10" t="inlineStr">
        <is>
          <t>Tokens out per request (T_out)</t>
        </is>
      </c>
      <c r="B8" s="31">
        <f>Assessment!$C$7</f>
        <v/>
      </c>
      <c r="C8" s="18" t="inlineStr">
        <is>
          <t>tokens</t>
        </is>
      </c>
      <c r="D8" s="18" t="inlineStr">
        <is>
          <t>Assessment input 4</t>
        </is>
      </c>
    </row>
    <row r="9">
      <c r="A9" s="10" t="inlineStr">
        <is>
          <t>Queries per month (Q_month)</t>
        </is>
      </c>
      <c r="B9" s="31">
        <f>Assessment!$C$8</f>
        <v/>
      </c>
      <c r="C9" s="18" t="inlineStr">
        <is>
          <t>requests</t>
        </is>
      </c>
      <c r="D9" s="18" t="inlineStr">
        <is>
          <t>Assessment input 5</t>
        </is>
      </c>
    </row>
    <row r="10">
      <c r="A10" s="10" t="inlineStr">
        <is>
          <t>Facility profile</t>
        </is>
      </c>
      <c r="B10" s="31">
        <f>IF(Assessment!$C$9="","",Assessment!$C$9)</f>
        <v/>
      </c>
      <c r="C10" s="18" t="inlineStr"/>
      <c r="D10" s="18" t="inlineStr">
        <is>
          <t>Assessment input 6</t>
        </is>
      </c>
    </row>
    <row r="11">
      <c r="A11" s="10" t="inlineStr">
        <is>
          <t>Hosting region</t>
        </is>
      </c>
      <c r="B11" s="31">
        <f>IF(Assessment!$C$10="","",Assessment!$C$10)</f>
        <v/>
      </c>
      <c r="C11" s="18" t="inlineStr"/>
      <c r="D11" s="18" t="inlineStr">
        <is>
          <t>Assessment input 7</t>
        </is>
      </c>
    </row>
    <row r="12">
      <c r="A12" s="10" t="inlineStr">
        <is>
          <t>Embodied adder</t>
        </is>
      </c>
      <c r="B12" s="31">
        <f>Assessment!$C$11</f>
        <v/>
      </c>
      <c r="C12" s="18" t="inlineStr">
        <is>
          <t>fraction</t>
        </is>
      </c>
      <c r="D12" s="18" t="inlineStr">
        <is>
          <t>Assessment input 8 (default 0.25; range 0.10–0.50, §4.6)</t>
        </is>
      </c>
    </row>
    <row r="13">
      <c r="A13" s="10" t="inlineStr">
        <is>
          <t>Market-based CI (optional)</t>
        </is>
      </c>
      <c r="B13" s="31">
        <f>IF(Assessment!$C$12="","",Assessment!$C$12)</f>
        <v/>
      </c>
      <c r="C13" s="18" t="inlineStr">
        <is>
          <t>g CO2e/kWh</t>
        </is>
      </c>
      <c r="D13" s="18" t="inlineStr">
        <is>
          <t>Assessment input 9; blank = not provided (P6)</t>
        </is>
      </c>
    </row>
    <row r="14">
      <c r="A14" s="10" t="inlineStr">
        <is>
          <t>Frugality Q1 — necessity</t>
        </is>
      </c>
      <c r="B14" s="31">
        <f>IF(Assessment!$C$14="","",Assessment!$C$14)</f>
        <v/>
      </c>
      <c r="C14" s="18" t="inlineStr"/>
      <c r="D14" s="18" t="inlineStr">
        <is>
          <t>Yes/No</t>
        </is>
      </c>
    </row>
    <row r="15">
      <c r="A15" s="10" t="inlineStr">
        <is>
          <t>Frugality Q2 — right-sizing</t>
        </is>
      </c>
      <c r="B15" s="31">
        <f>IF(Assessment!$C$15="","",Assessment!$C$15)</f>
        <v/>
      </c>
      <c r="C15" s="18" t="inlineStr"/>
      <c r="D15" s="18" t="inlineStr">
        <is>
          <t>Yes/No</t>
        </is>
      </c>
    </row>
    <row r="16">
      <c r="A16" s="10" t="inlineStr">
        <is>
          <t>Frugality Q3 — token discipline</t>
        </is>
      </c>
      <c r="B16" s="31">
        <f>IF(Assessment!$C$16="","",Assessment!$C$16)</f>
        <v/>
      </c>
      <c r="C16" s="18" t="inlineStr"/>
      <c r="D16" s="18" t="inlineStr">
        <is>
          <t>Yes/No</t>
        </is>
      </c>
    </row>
    <row r="18">
      <c r="A18" s="29" t="inlineStr">
        <is>
          <t>2 · LOOKED-UP FACTORS (INDEX/MATCH against the data sheets)</t>
        </is>
      </c>
      <c r="B18" s="30" t="n"/>
      <c r="C18" s="30" t="n"/>
      <c r="D18" s="30" t="n"/>
    </row>
    <row r="19">
      <c r="A19" s="10" t="inlineStr">
        <is>
          <t>e_out — model energy, central</t>
        </is>
      </c>
      <c r="B19" s="17">
        <f>IFERROR(INDEX('Model Database'!$E$2:$E$27,MATCH($B$5,'Model Database'!$A$2:$A$27,0)),"")</f>
        <v/>
      </c>
      <c r="C19" s="18" t="inlineStr">
        <is>
          <t>Wh / 1k output tokens</t>
        </is>
      </c>
      <c r="D19" s="18" t="inlineStr">
        <is>
          <t>models.csv wh_per_1k_output_tokens_it — IT boundary (accelerator + host); serving-stack multiplier S already included</t>
        </is>
      </c>
    </row>
    <row r="20">
      <c r="A20" s="10" t="inlineStr">
        <is>
          <t>e_out low bound</t>
        </is>
      </c>
      <c r="B20" s="17">
        <f>IFERROR(INDEX('Model Database'!$F$2:$F$27,MATCH($B$5,'Model Database'!$A$2:$A$27,0)),"")</f>
        <v/>
      </c>
      <c r="C20" s="18" t="inlineStr">
        <is>
          <t>Wh / 1k output tokens</t>
        </is>
      </c>
      <c r="D20" s="18" t="inlineStr">
        <is>
          <t>models.csv wh_low (tier band = default minimum width; some rows are wider with justification in their basis column)</t>
        </is>
      </c>
    </row>
    <row r="21">
      <c r="A21" s="10" t="inlineStr">
        <is>
          <t>e_out high bound</t>
        </is>
      </c>
      <c r="B21" s="17">
        <f>IFERROR(INDEX('Model Database'!$G$2:$G$27,MATCH($B$5,'Model Database'!$A$2:$A$27,0)),"")</f>
        <v/>
      </c>
      <c r="C21" s="18" t="inlineStr">
        <is>
          <t>Wh / 1k output tokens</t>
        </is>
      </c>
      <c r="D21" s="18" t="inlineStr">
        <is>
          <t>models.csv wh_high (tier band = default minimum width; some rows are wider with justification in their basis column)</t>
        </is>
      </c>
    </row>
    <row r="22">
      <c r="A22" s="10" t="inlineStr">
        <is>
          <t>Data-quality tier of model row</t>
        </is>
      </c>
      <c r="B22" s="31">
        <f>IFERROR(INDEX('Model Database'!$H$2:$H$27,MATCH($B$5,'Model Database'!$A$2:$A$27,0)),"")</f>
        <v/>
      </c>
      <c r="C22" s="18" t="inlineStr"/>
      <c r="D22" s="18" t="inlineStr">
        <is>
          <t>T1 measured / T2 disclosed / T3 benchmarked / T4 modeled (§4.5)</t>
        </is>
      </c>
    </row>
    <row r="23">
      <c r="A23" s="10" t="inlineStr">
        <is>
          <t>Low scale factor</t>
        </is>
      </c>
      <c r="B23" s="19">
        <f>IFERROR($B$20/$B$19,"")</f>
        <v/>
      </c>
      <c r="C23" s="18" t="inlineStr">
        <is>
          <t>×</t>
        </is>
      </c>
      <c r="D23" s="18" t="inlineStr">
        <is>
          <t>wh_low / e_out — every output is scaled by this for the low bound</t>
        </is>
      </c>
    </row>
    <row r="24">
      <c r="A24" s="10" t="inlineStr">
        <is>
          <t>High scale factor</t>
        </is>
      </c>
      <c r="B24" s="19">
        <f>IFERROR($B$21/$B$19,"")</f>
        <v/>
      </c>
      <c r="C24" s="18" t="inlineStr">
        <is>
          <t>×</t>
        </is>
      </c>
      <c r="D24" s="18" t="inlineStr">
        <is>
          <t>wh_high / e_out — every output is scaled by this for the high bound</t>
        </is>
      </c>
    </row>
    <row r="25">
      <c r="A25" s="10" t="inlineStr">
        <is>
          <t>PUE — facility overhead</t>
        </is>
      </c>
      <c r="B25" s="32">
        <f>IFERROR(INDEX('Facility Profiles'!$B$2:$B$6,MATCH($B$10,'Facility Profiles'!$A$2:$A$6,0)),"")</f>
        <v/>
      </c>
      <c r="C25" s="18" t="inlineStr">
        <is>
          <t>×</t>
        </is>
      </c>
      <c r="D25" s="18" t="inlineStr">
        <is>
          <t>facilities.csv pue for the chosen profile</t>
        </is>
      </c>
    </row>
    <row r="26">
      <c r="A26" s="10" t="inlineStr">
        <is>
          <t>WUE — on-site water</t>
        </is>
      </c>
      <c r="B26" s="32">
        <f>IFERROR(INDEX('Facility Profiles'!$E$2:$E$6,MATCH($B$10,'Facility Profiles'!$A$2:$A$6,0)),"")</f>
        <v/>
      </c>
      <c r="C26" s="18" t="inlineStr">
        <is>
          <t>L/kWh (IT energy)</t>
        </is>
      </c>
      <c r="D26" s="18" t="inlineStr">
        <is>
          <t>facilities.csv wue_l_kwh for the chosen profile</t>
        </is>
      </c>
    </row>
    <row r="27">
      <c r="A27" s="10" t="inlineStr">
        <is>
          <t>CI — location-based grid carbon</t>
        </is>
      </c>
      <c r="B27" s="33">
        <f>IFERROR(INDEX('Region Factors'!$B$2:$B$21,MATCH($B$11,'Region Factors'!$A$2:$A$21,0)),"")</f>
        <v/>
      </c>
      <c r="C27" s="18" t="inlineStr">
        <is>
          <t>g CO2e/kWh</t>
        </is>
      </c>
      <c r="D27" s="18" t="inlineStr">
        <is>
          <t>regions.csv ci_location_gco2_kwh for the chosen region</t>
        </is>
      </c>
    </row>
    <row r="28">
      <c r="A28" s="10" t="inlineStr">
        <is>
          <t>EWIF — off-site water</t>
        </is>
      </c>
      <c r="B28" s="32">
        <f>IFERROR(INDEX('Region Factors'!$E$2:$E$21,MATCH($B$11,'Region Factors'!$A$2:$A$21,0)),"")</f>
        <v/>
      </c>
      <c r="C28" s="18" t="inlineStr">
        <is>
          <t>L/kWh (total energy)</t>
        </is>
      </c>
      <c r="D28" s="18" t="inlineStr">
        <is>
          <t>regions.csv ewif_l_kwh for the chosen region</t>
        </is>
      </c>
    </row>
    <row r="29">
      <c r="A29" s="10" t="inlineStr">
        <is>
          <t>Task-class default tokens in</t>
        </is>
      </c>
      <c r="B29" s="31">
        <f>IFERROR(INDEX(Grading!$C$2:$C$5,MATCH($B$6,Grading!$A$2:$A$5,0)),"")</f>
        <v/>
      </c>
      <c r="C29" s="18" t="inlineStr">
        <is>
          <t>tokens</t>
        </is>
      </c>
      <c r="D29" s="18" t="inlineStr">
        <is>
          <t>grading.csv tokens_in_default — reference for Assessment input 3</t>
        </is>
      </c>
    </row>
    <row r="30">
      <c r="A30" s="10" t="inlineStr">
        <is>
          <t>Task-class default tokens out</t>
        </is>
      </c>
      <c r="B30" s="31">
        <f>IFERROR(INDEX(Grading!$D$2:$D$5,MATCH($B$6,Grading!$A$2:$A$5,0)),"")</f>
        <v/>
      </c>
      <c r="C30" s="18" t="inlineStr">
        <is>
          <t>tokens</t>
        </is>
      </c>
      <c r="D30" s="18" t="inlineStr">
        <is>
          <t>grading.csv tokens_out_default — reference for Assessment input 4</t>
        </is>
      </c>
    </row>
    <row r="31">
      <c r="A31" s="10" t="inlineStr">
        <is>
          <t>Grade A maximum</t>
        </is>
      </c>
      <c r="B31" s="31">
        <f>IFERROR(INDEX(Grading!$E$2:$E$5,MATCH($B$6,Grading!$A$2:$A$5,0)),"")</f>
        <v/>
      </c>
      <c r="C31" s="18" t="inlineStr">
        <is>
          <t>Wh/request</t>
        </is>
      </c>
      <c r="D31" s="18" t="inlineStr">
        <is>
          <t>grading.csv grade_a_max_wh for the chosen task class</t>
        </is>
      </c>
    </row>
    <row r="32">
      <c r="A32" s="10" t="inlineStr">
        <is>
          <t>Grade B maximum</t>
        </is>
      </c>
      <c r="B32" s="31">
        <f>IFERROR(INDEX(Grading!$F$2:$F$5,MATCH($B$6,Grading!$A$2:$A$5,0)),"")</f>
        <v/>
      </c>
      <c r="C32" s="18" t="inlineStr">
        <is>
          <t>Wh/request</t>
        </is>
      </c>
      <c r="D32" s="18" t="inlineStr">
        <is>
          <t>grading.csv grade_b_max_wh</t>
        </is>
      </c>
    </row>
    <row r="33">
      <c r="A33" s="10" t="inlineStr">
        <is>
          <t>Grade C maximum</t>
        </is>
      </c>
      <c r="B33" s="31">
        <f>IFERROR(INDEX(Grading!$G$2:$G$5,MATCH($B$6,Grading!$A$2:$A$5,0)),"")</f>
        <v/>
      </c>
      <c r="C33" s="18" t="inlineStr">
        <is>
          <t>Wh/request</t>
        </is>
      </c>
      <c r="D33" s="18" t="inlineStr">
        <is>
          <t>grading.csv grade_c_max_wh</t>
        </is>
      </c>
    </row>
    <row r="34">
      <c r="A34" s="10" t="inlineStr">
        <is>
          <t>Grade D maximum</t>
        </is>
      </c>
      <c r="B34" s="31">
        <f>IFERROR(INDEX(Grading!$H$2:$H$5,MATCH($B$6,Grading!$A$2:$A$5,0)),"")</f>
        <v/>
      </c>
      <c r="C34" s="18" t="inlineStr">
        <is>
          <t>Wh/request</t>
        </is>
      </c>
      <c r="D34" s="18" t="inlineStr">
        <is>
          <t>grading.csv grade_d_max_wh; above this = grade E</t>
        </is>
      </c>
    </row>
    <row r="36">
      <c r="A36" s="29" t="inlineStr">
        <is>
          <t>3 · CENTRAL ESTIMATE (§4 equations)</t>
        </is>
      </c>
      <c r="B36" s="30" t="n"/>
      <c r="C36" s="30" t="n"/>
      <c r="D36" s="30" t="n"/>
    </row>
    <row r="37">
      <c r="A37" s="10" t="inlineStr">
        <is>
          <t>E_IT_request — IT energy per request</t>
        </is>
      </c>
      <c r="B37" s="17">
        <f>IFERROR($B$19*($B$8+$B$7/10)/1000,"")</f>
        <v/>
      </c>
      <c r="C37" s="18" t="inlineStr">
        <is>
          <t>Wh</t>
        </is>
      </c>
      <c r="D37" s="18" t="inlineStr">
        <is>
          <t>E_IT = e_out × (T_out + T_in/10) / 1000 — input tokens cost ≈1/10 of output tokens (§4.1, k=10)</t>
        </is>
      </c>
    </row>
    <row r="38">
      <c r="A38" s="10" t="inlineStr">
        <is>
          <t>E_request — full energy per request</t>
        </is>
      </c>
      <c r="B38" s="17">
        <f>IFERROR($B$37*$B$25,"")</f>
        <v/>
      </c>
      <c r="C38" s="18" t="inlineStr">
        <is>
          <t>Wh</t>
        </is>
      </c>
      <c r="D38" s="18" t="inlineStr">
        <is>
          <t>E_request = E_IT_request × PUE (§4.1; S is already inside e_out)</t>
        </is>
      </c>
    </row>
    <row r="39">
      <c r="A39" s="10" t="inlineStr">
        <is>
          <t>E_IT_month — monthly IT energy</t>
        </is>
      </c>
      <c r="B39" s="19">
        <f>IFERROR($B$37*$B$9/1000,"")</f>
        <v/>
      </c>
      <c r="C39" s="18" t="inlineStr">
        <is>
          <t>kWh</t>
        </is>
      </c>
      <c r="D39" s="18" t="inlineStr">
        <is>
          <t>E_IT_month = E_IT_request × Q_month / 1000</t>
        </is>
      </c>
    </row>
    <row r="40">
      <c r="A40" s="10" t="inlineStr">
        <is>
          <t>E_month — monthly total energy</t>
        </is>
      </c>
      <c r="B40" s="19">
        <f>IFERROR($B$38*$B$9/1000,"")</f>
        <v/>
      </c>
      <c r="C40" s="18" t="inlineStr">
        <is>
          <t>kWh</t>
        </is>
      </c>
      <c r="D40" s="18" t="inlineStr">
        <is>
          <t>E_month = E_request × Q_month / 1000 (§4.2)</t>
        </is>
      </c>
    </row>
    <row r="41">
      <c r="A41" s="10" t="inlineStr">
        <is>
          <t>Carbon, location-based</t>
        </is>
      </c>
      <c r="B41" s="19">
        <f>IFERROR($B$40*$B$27/1000,"")</f>
        <v/>
      </c>
      <c r="C41" s="18" t="inlineStr">
        <is>
          <t>kg CO2e/month</t>
        </is>
      </c>
      <c r="D41" s="18" t="inlineStr">
        <is>
          <t>C_op(location) = E_month × CI_location / 1000 (§4.3)</t>
        </is>
      </c>
    </row>
    <row r="42">
      <c r="A42" s="10" t="inlineStr">
        <is>
          <t>Carbon, market-based</t>
        </is>
      </c>
      <c r="B42" s="31">
        <f>IF(OR($B$13="",NOT(ISNUMBER($B$13))),"not provided",IFERROR($B$40*$B$13/1000,""))</f>
        <v/>
      </c>
      <c r="C42" s="18" t="inlineStr">
        <is>
          <t>kg CO2e/month</t>
        </is>
      </c>
      <c r="D42" s="18" t="inlineStr">
        <is>
          <t>C_op(market) = E_month × CI_market / 1000 — ONLY if a numeric market CI is supplied; never blended with location-based (P6)</t>
        </is>
      </c>
    </row>
    <row r="43">
      <c r="A43" s="10" t="inlineStr">
        <is>
          <t>Embodied carbon</t>
        </is>
      </c>
      <c r="B43" s="19">
        <f>IFERROR($B$41*$B$12,"")</f>
        <v/>
      </c>
      <c r="C43" s="18" t="inlineStr">
        <is>
          <t>kg CO2e/month</t>
        </is>
      </c>
      <c r="D43" s="18" t="inlineStr">
        <is>
          <t>C_embodied = C_op(location) × embodied_adder (§4.6; default 0.25)</t>
        </is>
      </c>
    </row>
    <row r="44">
      <c r="A44" s="10" t="inlineStr">
        <is>
          <t>Water (two-path)</t>
        </is>
      </c>
      <c r="B44" s="20">
        <f>IFERROR($B$39*$B$26+$B$40*$B$28,"")</f>
        <v/>
      </c>
      <c r="C44" s="18" t="inlineStr">
        <is>
          <t>L/month</t>
        </is>
      </c>
      <c r="D44" s="18" t="inlineStr">
        <is>
          <t>W = E_IT_month × WUE + E_month × EWIF (§4.4, Li et al. two-path model)</t>
        </is>
      </c>
    </row>
    <row r="46">
      <c r="A46" s="29" t="inlineStr">
        <is>
          <t>4 · LOW / HIGH BOUNDS (energy-dominated; factor uncertainty adds beyond this)</t>
        </is>
      </c>
      <c r="B46" s="30" t="n"/>
      <c r="C46" s="30" t="n"/>
      <c r="D46" s="30" t="n"/>
    </row>
    <row r="47">
      <c r="A47" s="10" t="inlineStr">
        <is>
          <t>Energy per request — LOW</t>
        </is>
      </c>
      <c r="B47" s="17">
        <f>IFERROR($B$38*$B$23,"")</f>
        <v/>
      </c>
      <c r="C47" s="18" t="inlineStr">
        <is>
          <t>Wh</t>
        </is>
      </c>
      <c r="D47" s="18" t="inlineStr">
        <is>
          <t>central × (wh_low / e_out)</t>
        </is>
      </c>
    </row>
    <row r="48">
      <c r="A48" s="10" t="inlineStr">
        <is>
          <t>Energy per request — HIGH</t>
        </is>
      </c>
      <c r="B48" s="17">
        <f>IFERROR($B$38*$B$24,"")</f>
        <v/>
      </c>
      <c r="C48" s="18" t="inlineStr">
        <is>
          <t>Wh</t>
        </is>
      </c>
      <c r="D48" s="18" t="inlineStr">
        <is>
          <t>central × (wh_high / e_out)</t>
        </is>
      </c>
    </row>
    <row r="49">
      <c r="A49" s="10" t="inlineStr">
        <is>
          <t>Monthly energy — LOW</t>
        </is>
      </c>
      <c r="B49" s="19">
        <f>IFERROR($B$40*$B$23,"")</f>
        <v/>
      </c>
      <c r="C49" s="18" t="inlineStr">
        <is>
          <t>kWh</t>
        </is>
      </c>
      <c r="D49" s="18" t="inlineStr">
        <is>
          <t>central × (wh_low / e_out)</t>
        </is>
      </c>
    </row>
    <row r="50">
      <c r="A50" s="10" t="inlineStr">
        <is>
          <t>Monthly energy — HIGH</t>
        </is>
      </c>
      <c r="B50" s="19">
        <f>IFERROR($B$40*$B$24,"")</f>
        <v/>
      </c>
      <c r="C50" s="18" t="inlineStr">
        <is>
          <t>kWh</t>
        </is>
      </c>
      <c r="D50" s="18" t="inlineStr">
        <is>
          <t>central × (wh_high / e_out)</t>
        </is>
      </c>
    </row>
    <row r="51">
      <c r="A51" s="10" t="inlineStr">
        <is>
          <t>Carbon, location-based — LOW</t>
        </is>
      </c>
      <c r="B51" s="19">
        <f>IFERROR($B$41*$B$23,"")</f>
        <v/>
      </c>
      <c r="C51" s="18" t="inlineStr">
        <is>
          <t>kg CO2e/month</t>
        </is>
      </c>
      <c r="D51" s="18" t="inlineStr">
        <is>
          <t>central × (wh_low / e_out)</t>
        </is>
      </c>
    </row>
    <row r="52">
      <c r="A52" s="10" t="inlineStr">
        <is>
          <t>Carbon, location-based — HIGH</t>
        </is>
      </c>
      <c r="B52" s="19">
        <f>IFERROR($B$41*$B$24,"")</f>
        <v/>
      </c>
      <c r="C52" s="18" t="inlineStr">
        <is>
          <t>kg CO2e/month</t>
        </is>
      </c>
      <c r="D52" s="18" t="inlineStr">
        <is>
          <t>central × (wh_high / e_out)</t>
        </is>
      </c>
    </row>
    <row r="53">
      <c r="A53" s="10" t="inlineStr">
        <is>
          <t>Embodied carbon — LOW</t>
        </is>
      </c>
      <c r="B53" s="31">
        <f>IFERROR($B$43*$B$23,"")</f>
        <v/>
      </c>
      <c r="C53" s="18" t="inlineStr">
        <is>
          <t>kg CO2e/month</t>
        </is>
      </c>
      <c r="D53" s="18" t="inlineStr">
        <is>
          <t>central × (wh_low / e_out)</t>
        </is>
      </c>
    </row>
    <row r="54">
      <c r="A54" s="10" t="inlineStr">
        <is>
          <t>Embodied carbon — HIGH</t>
        </is>
      </c>
      <c r="B54" s="31">
        <f>IFERROR($B$43*$B$24,"")</f>
        <v/>
      </c>
      <c r="C54" s="18" t="inlineStr">
        <is>
          <t>kg CO2e/month</t>
        </is>
      </c>
      <c r="D54" s="18" t="inlineStr">
        <is>
          <t>central × (wh_high / e_out)</t>
        </is>
      </c>
    </row>
    <row r="55">
      <c r="A55" s="10" t="inlineStr">
        <is>
          <t>Water — LOW</t>
        </is>
      </c>
      <c r="B55" s="20">
        <f>IFERROR($B$44*$B$23,"")</f>
        <v/>
      </c>
      <c r="C55" s="18" t="inlineStr">
        <is>
          <t>L/month</t>
        </is>
      </c>
      <c r="D55" s="18" t="inlineStr">
        <is>
          <t>central × (wh_low / e_out)</t>
        </is>
      </c>
    </row>
    <row r="56">
      <c r="A56" s="10" t="inlineStr">
        <is>
          <t>Water — HIGH</t>
        </is>
      </c>
      <c r="B56" s="20">
        <f>IFERROR($B$44*$B$24,"")</f>
        <v/>
      </c>
      <c r="C56" s="18" t="inlineStr">
        <is>
          <t>L/month</t>
        </is>
      </c>
      <c r="D56" s="18" t="inlineStr">
        <is>
          <t>central × (wh_high / e_out)</t>
        </is>
      </c>
    </row>
    <row r="57">
      <c r="A57" s="10" t="inlineStr">
        <is>
          <t>Carbon, market-based — LOW</t>
        </is>
      </c>
      <c r="B57" s="31">
        <f>IF(OR($B$13="",NOT(ISNUMBER($B$13))),"not provided",IFERROR($B$42*$B$23,""))</f>
        <v/>
      </c>
      <c r="C57" s="18" t="inlineStr">
        <is>
          <t>kg CO2e/month</t>
        </is>
      </c>
      <c r="D57" s="18" t="inlineStr">
        <is>
          <t>central × (wh_low / e_out); 'not provided' without a numeric market CI</t>
        </is>
      </c>
    </row>
    <row r="58">
      <c r="A58" s="10" t="inlineStr">
        <is>
          <t>Carbon, market-based — HIGH</t>
        </is>
      </c>
      <c r="B58" s="31">
        <f>IF(OR($B$13="",NOT(ISNUMBER($B$13))),"not provided",IFERROR($B$42*$B$24,""))</f>
        <v/>
      </c>
      <c r="C58" s="18" t="inlineStr">
        <is>
          <t>kg CO2e/month</t>
        </is>
      </c>
      <c r="D58" s="18" t="inlineStr">
        <is>
          <t>central × (wh_high / e_out); 'not provided' without a numeric market CI</t>
        </is>
      </c>
    </row>
    <row r="60">
      <c r="A60" s="29" t="inlineStr">
        <is>
          <t>5 · GRADE, FRUGALITY FLAG, GUIDANCE (§5)</t>
        </is>
      </c>
      <c r="B60" s="30" t="n"/>
      <c r="C60" s="30" t="n"/>
      <c r="D60" s="30" t="n"/>
    </row>
    <row r="61">
      <c r="A61" s="10" t="inlineStr">
        <is>
          <t>Efficiency grade</t>
        </is>
      </c>
      <c r="B61" s="31">
        <f>IF(OR($B$38="",NOT(ISNUMBER($B$31))),"",IF($B$38&lt;=$B$31,"A",IF($B$38&lt;=$B$32,"B",IF($B$38&lt;=$B$33,"C",IF($B$38&lt;=$B$34,"D","E")))))</f>
        <v/>
      </c>
      <c r="C61" s="18" t="inlineStr">
        <is>
          <t>A–E</t>
        </is>
      </c>
      <c r="D61" s="18" t="inlineStr">
        <is>
          <t>Central E_request vs task-class bands (§5.2); blank unless a valid task class is selected</t>
        </is>
      </c>
    </row>
    <row r="62">
      <c r="A62" s="10" t="inlineStr">
        <is>
          <t>Frugality — count of "No" answers</t>
        </is>
      </c>
      <c r="B62" s="31">
        <f>COUNTIF($B$14:$B$16,"No")</f>
        <v/>
      </c>
      <c r="C62" s="18" t="inlineStr">
        <is>
          <t>0–3</t>
        </is>
      </c>
      <c r="D62" s="18" t="inlineStr">
        <is>
          <t>Across Q1–Q3 (§5.3)</t>
        </is>
      </c>
    </row>
    <row r="63">
      <c r="A63" s="10" t="inlineStr">
        <is>
          <t>Frugality flag</t>
        </is>
      </c>
      <c r="B63" s="31">
        <f>IF($B$62=0,"F0",IF($B$62=1,"F1","F2+"))</f>
        <v/>
      </c>
      <c r="C63" s="18" t="inlineStr">
        <is>
          <t>F0/F1/F2+</t>
        </is>
      </c>
      <c r="D63" s="18" t="inlineStr">
        <is>
          <t>0 No → F0; 1 No → F1; ≥2 No → F2+ — reported BESIDE the grade, never combined into a composite score</t>
        </is>
      </c>
    </row>
    <row r="64">
      <c r="A64" s="10" t="inlineStr">
        <is>
          <t>Guidance</t>
        </is>
      </c>
      <c r="B64" s="31">
        <f>IF($B$61="","",IF($B$61="E","Re-architect: reasoning budgets, model routing, or task redesign before scale-up",IF(OR($B$61="A",$B$61="B"),IF($B$63="F0","Proceed; monitor quarterly","Efficient but wasteful by design — fix necessity/right-sizing first"),IF($B$63="F0","Justified heavy use — apply mitigation levers; set an intensity-reduction target","Priority for intervention"))))</f>
        <v/>
      </c>
      <c r="C64" s="18" t="inlineStr"/>
      <c r="D64" s="18" t="inlineStr">
        <is>
          <t>Grade × flag decision table (§5.4)</t>
        </is>
      </c>
    </row>
    <row r="66">
      <c r="A66" s="29" t="inlineStr">
        <is>
          <t>6 · REAL-WORLD EQUIVALENTS (communication aids — factors from data/equivalents.csv)</t>
        </is>
      </c>
      <c r="B66" s="30" t="n"/>
      <c r="C66" s="30" t="n"/>
      <c r="D66" s="30" t="n"/>
    </row>
    <row r="67">
      <c r="A67" s="10" t="inlineStr">
        <is>
          <t>Factor: Energy → hours of LED bulb (10 W) (per 1 kWh)</t>
        </is>
      </c>
      <c r="B67" s="31" t="n">
        <v>100</v>
      </c>
      <c r="C67" s="18" t="inlineStr"/>
      <c r="D67" s="18" t="inlineStr">
        <is>
          <t>Arithmetic: 1000 Wh / 10 W</t>
        </is>
      </c>
    </row>
    <row r="68">
      <c r="A68" s="10" t="inlineStr">
        <is>
          <t>Factor: Energy → km driven in an average EV (per 1 kWh)</t>
        </is>
      </c>
      <c r="B68" s="31" t="n">
        <v>5.9</v>
      </c>
      <c r="C68" s="18" t="inlineStr"/>
      <c r="D68" s="18" t="inlineStr">
        <is>
          <t>~0.17 kWh/km typical EV consumption (EPA/WLTP averages)</t>
        </is>
      </c>
    </row>
    <row r="69">
      <c r="A69" s="10" t="inlineStr">
        <is>
          <t>Factor: Energy → smartphone full charges (per 1 kWh)</t>
        </is>
      </c>
      <c r="B69" s="31" t="n">
        <v>80</v>
      </c>
      <c r="C69" s="18" t="inlineStr"/>
      <c r="D69" s="18" t="inlineStr">
        <is>
          <t>EPA GHG Equivalencies Calculator (~0.012 kWh/charge)</t>
        </is>
      </c>
    </row>
    <row r="70">
      <c r="A70" s="10" t="inlineStr">
        <is>
          <t>Factor: Carbon → km driven in an average petrol car (per 1 kg CO2e)</t>
        </is>
      </c>
      <c r="B70" s="31" t="n">
        <v>4</v>
      </c>
      <c r="C70" s="18" t="inlineStr"/>
      <c r="D70" s="18" t="inlineStr">
        <is>
          <t>EPA GHG Equivalencies Calculator (~400 g CO2e/mile = ~250 g/km)</t>
        </is>
      </c>
    </row>
    <row r="71">
      <c r="A71" s="10" t="inlineStr">
        <is>
          <t>Factor: Water → drinking glasses (250 mL) (per 1 L)</t>
        </is>
      </c>
      <c r="B71" s="31" t="n">
        <v>4</v>
      </c>
      <c r="C71" s="18" t="inlineStr"/>
      <c r="D71" s="18" t="inlineStr">
        <is>
          <t>Arithmetic</t>
        </is>
      </c>
    </row>
    <row r="72">
      <c r="A72" s="10" t="inlineStr">
        <is>
          <t>Factor: Water → 8-minute showers (per 1000 L)</t>
        </is>
      </c>
      <c r="B72" s="31" t="n">
        <v>15</v>
      </c>
      <c r="C72" s="18" t="inlineStr"/>
      <c r="D72" s="18" t="inlineStr">
        <is>
          <t>EPA WaterSense (~2.1 gpm showerhead = ~64 L/shower)</t>
        </is>
      </c>
    </row>
    <row r="73">
      <c r="A73" s="10" t="inlineStr">
        <is>
          <t>≈ Hours of a 10 W LED bulb</t>
        </is>
      </c>
      <c r="B73" s="27">
        <f>IFERROR($B$40*$B$67,"")</f>
        <v/>
      </c>
      <c r="C73" s="18" t="inlineStr">
        <is>
          <t>h/month</t>
        </is>
      </c>
      <c r="D73" s="18" t="inlineStr">
        <is>
          <t>E_month [kWh] × factor</t>
        </is>
      </c>
    </row>
    <row r="74">
      <c r="A74" s="10" t="inlineStr">
        <is>
          <t>≈ Smartphone full charges</t>
        </is>
      </c>
      <c r="B74" s="27">
        <f>IFERROR($B$40*$B$69,"")</f>
        <v/>
      </c>
      <c r="C74" s="18" t="inlineStr">
        <is>
          <t>charges/month</t>
        </is>
      </c>
      <c r="D74" s="18" t="inlineStr">
        <is>
          <t>E_month [kWh] × factor</t>
        </is>
      </c>
    </row>
    <row r="75">
      <c r="A75" s="10" t="inlineStr">
        <is>
          <t>≈ Km driven in an average petrol car</t>
        </is>
      </c>
      <c r="B75" s="27">
        <f>IFERROR($B$41*$B$70,"")</f>
        <v/>
      </c>
      <c r="C75" s="18" t="inlineStr">
        <is>
          <t>km/month</t>
        </is>
      </c>
      <c r="D75" s="18" t="inlineStr">
        <is>
          <t>C_op(location) [kg] × factor</t>
        </is>
      </c>
    </row>
    <row r="76">
      <c r="A76" s="10" t="inlineStr">
        <is>
          <t>≈ Km driven in an average EV</t>
        </is>
      </c>
      <c r="B76" s="31">
        <f>IFERROR($B$40*$B$68,"")</f>
        <v/>
      </c>
      <c r="C76" s="18" t="inlineStr">
        <is>
          <t>km/month</t>
        </is>
      </c>
      <c r="D76" s="18" t="inlineStr">
        <is>
          <t>E_month [kWh] × factor</t>
        </is>
      </c>
    </row>
    <row r="77">
      <c r="A77" s="10" t="inlineStr">
        <is>
          <t>≈ Drinking glasses (250 mL)</t>
        </is>
      </c>
      <c r="B77" s="31">
        <f>IFERROR($B$44*$B$71,"")</f>
        <v/>
      </c>
      <c r="C77" s="18" t="inlineStr">
        <is>
          <t>glasses/month</t>
        </is>
      </c>
      <c r="D77" s="18" t="inlineStr">
        <is>
          <t>Water [L] × factor</t>
        </is>
      </c>
    </row>
    <row r="78">
      <c r="A78" s="10" t="inlineStr">
        <is>
          <t>≈ 8-minute showers</t>
        </is>
      </c>
      <c r="B78" s="27">
        <f>IFERROR($B$44/1000*$B$72,"")</f>
        <v/>
      </c>
      <c r="C78" s="18" t="inlineStr">
        <is>
          <t>showers/month</t>
        </is>
      </c>
      <c r="D78" s="18" t="inlineStr">
        <is>
          <t>Water [L] / 1000 × factor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2" customWidth="1" min="4" max="4"/>
    <col width="16" customWidth="1" min="5" max="5"/>
    <col width="9" customWidth="1" min="6" max="6"/>
    <col width="9" customWidth="1" min="7" max="7"/>
    <col width="7" customWidth="1" min="8" max="8"/>
    <col width="10" customWidth="1" min="9" max="9"/>
    <col width="60" customWidth="1" min="10" max="10"/>
    <col width="45" customWidth="1" min="11" max="11"/>
  </cols>
  <sheetData>
    <row r="1">
      <c r="A1" s="16" t="inlineStr">
        <is>
          <t>Model</t>
        </is>
      </c>
      <c r="B1" s="16" t="inlineStr">
        <is>
          <t>Provider</t>
        </is>
      </c>
      <c r="C1" s="16" t="inlineStr">
        <is>
          <t>Capability class</t>
        </is>
      </c>
      <c r="D1" s="16" t="inlineStr">
        <is>
          <t>Reasoning mode</t>
        </is>
      </c>
      <c r="E1" s="16" t="inlineStr">
        <is>
          <t>Wh per 1k output tokens (central, IT boundary)</t>
        </is>
      </c>
      <c r="F1" s="16" t="inlineStr">
        <is>
          <t>Low</t>
        </is>
      </c>
      <c r="G1" s="16" t="inlineStr">
        <is>
          <t>High</t>
        </is>
      </c>
      <c r="H1" s="16" t="inlineStr">
        <is>
          <t>Tier</t>
        </is>
      </c>
      <c r="I1" s="16" t="inlineStr">
        <is>
          <t>Vintage</t>
        </is>
      </c>
      <c r="J1" s="16" t="inlineStr">
        <is>
          <t>Basis</t>
        </is>
      </c>
      <c r="K1" s="16" t="inlineStr">
        <is>
          <t>Source</t>
        </is>
      </c>
    </row>
    <row r="2">
      <c r="A2" s="26" t="inlineStr">
        <is>
          <t>GPT-5</t>
        </is>
      </c>
      <c r="B2" s="26" t="inlineStr">
        <is>
          <t>OpenAI</t>
        </is>
      </c>
      <c r="C2" s="26" t="inlineStr">
        <is>
          <t>Frontier</t>
        </is>
      </c>
      <c r="D2" s="26" t="inlineStr">
        <is>
          <t>optional</t>
        </is>
      </c>
      <c r="E2" s="34" t="n">
        <v>1</v>
      </c>
      <c r="F2" s="34" t="n">
        <v>0.33</v>
      </c>
      <c r="G2" s="34" t="n">
        <v>3</v>
      </c>
      <c r="H2" s="35" t="inlineStr">
        <is>
          <t>T4</t>
        </is>
      </c>
      <c r="I2" s="26" t="inlineStr">
        <is>
          <t>2026-06</t>
        </is>
      </c>
      <c r="J2" s="26" t="inlineStr">
        <is>
          <t>No public measurement; frontier-class serving assumption (~150-300B active params, H100/B200 fleet), anchored to GPT-4o-era disclosures and routing behavior</t>
        </is>
      </c>
      <c r="K2" s="26" t="inlineStr">
        <is>
          <t>Class-based estimate per FRAMEWORK.md §4.5; anchors: OpenAI 0.34 Wh/query disclosure (2025); Epoch AI GPT-4o analysis (2025)</t>
        </is>
      </c>
    </row>
    <row r="3">
      <c r="A3" s="26" t="inlineStr">
        <is>
          <t>GPT-5 mini</t>
        </is>
      </c>
      <c r="B3" s="26" t="inlineStr">
        <is>
          <t>OpenAI</t>
        </is>
      </c>
      <c r="C3" s="26" t="inlineStr">
        <is>
          <t>Mid</t>
        </is>
      </c>
      <c r="D3" s="26" t="inlineStr">
        <is>
          <t>optional</t>
        </is>
      </c>
      <c r="E3" s="34" t="n">
        <v>0.25</v>
      </c>
      <c r="F3" s="34" t="n">
        <v>0.08</v>
      </c>
      <c r="G3" s="34" t="n">
        <v>0.75</v>
      </c>
      <c r="H3" s="35" t="inlineStr">
        <is>
          <t>T4</t>
        </is>
      </c>
      <c r="I3" s="26" t="inlineStr">
        <is>
          <t>2026-06</t>
        </is>
      </c>
      <c r="J3" s="26" t="inlineStr">
        <is>
          <t>No public measurement; mid-class serving assumption (~20-70B active)</t>
        </is>
      </c>
      <c r="K3" s="26" t="inlineStr">
        <is>
          <t>Class-based estimate per FRAMEWORK.md §4.5</t>
        </is>
      </c>
    </row>
    <row r="4">
      <c r="A4" s="26" t="inlineStr">
        <is>
          <t>GPT-4o</t>
        </is>
      </c>
      <c r="B4" s="26" t="inlineStr">
        <is>
          <t>OpenAI</t>
        </is>
      </c>
      <c r="C4" s="26" t="inlineStr">
        <is>
          <t>Frontier</t>
        </is>
      </c>
      <c r="D4" s="26" t="inlineStr">
        <is>
          <t>no</t>
        </is>
      </c>
      <c r="E4" s="34" t="n">
        <v>0.8</v>
      </c>
      <c r="F4" s="34" t="n">
        <v>0.3</v>
      </c>
      <c r="G4" s="34" t="n">
        <v>2.4</v>
      </c>
      <c r="H4" s="36" t="inlineStr">
        <is>
          <t>T3</t>
        </is>
      </c>
      <c r="I4" s="26" t="inlineStr">
        <is>
          <t>2025-05</t>
        </is>
      </c>
      <c r="J4" s="26" t="inlineStr">
        <is>
          <t>Jegham et al. measured ~1.2 Wh/medium query; Epoch AI first-principles ~0.3 Wh/typical query (~500 tok out); central reconciles both</t>
        </is>
      </c>
      <c r="K4" s="26" t="inlineStr">
        <is>
          <t>arXiv:2505.09598; Epoch AI 'How much energy does ChatGPT use?' (2025)</t>
        </is>
      </c>
    </row>
    <row r="5">
      <c r="A5" s="26" t="inlineStr">
        <is>
          <t>GPT-4o mini</t>
        </is>
      </c>
      <c r="B5" s="26" t="inlineStr">
        <is>
          <t>OpenAI</t>
        </is>
      </c>
      <c r="C5" s="26" t="inlineStr">
        <is>
          <t>Small</t>
        </is>
      </c>
      <c r="D5" s="26" t="inlineStr">
        <is>
          <t>no</t>
        </is>
      </c>
      <c r="E5" s="34" t="n">
        <v>0.3</v>
      </c>
      <c r="F5" s="34" t="n">
        <v>0.1</v>
      </c>
      <c r="G5" s="34" t="n">
        <v>0.9</v>
      </c>
      <c r="H5" s="36" t="inlineStr">
        <is>
          <t>T3</t>
        </is>
      </c>
      <c r="I5" s="26" t="inlineStr">
        <is>
          <t>2025-05</t>
        </is>
      </c>
      <c r="J5" s="26" t="inlineStr">
        <is>
          <t>Jegham et al. ~1.4 Wh/medium query (batching penalty on small models in shared serving); wide bounds reflect disagreement with parameter-count physics</t>
        </is>
      </c>
      <c r="K5" s="26" t="inlineStr">
        <is>
          <t>arXiv:2505.09598</t>
        </is>
      </c>
    </row>
    <row r="6">
      <c r="A6" s="26" t="inlineStr">
        <is>
          <t>GPT-4.1 nano</t>
        </is>
      </c>
      <c r="B6" s="26" t="inlineStr">
        <is>
          <t>OpenAI</t>
        </is>
      </c>
      <c r="C6" s="26" t="inlineStr">
        <is>
          <t>Small</t>
        </is>
      </c>
      <c r="D6" s="26" t="inlineStr">
        <is>
          <t>no</t>
        </is>
      </c>
      <c r="E6" s="34" t="n">
        <v>0.08</v>
      </c>
      <c r="F6" s="34" t="n">
        <v>0.03</v>
      </c>
      <c r="G6" s="34" t="n">
        <v>0.24</v>
      </c>
      <c r="H6" s="36" t="inlineStr">
        <is>
          <t>T3</t>
        </is>
      </c>
      <c r="I6" s="26" t="inlineStr">
        <is>
          <t>2025-05</t>
        </is>
      </c>
      <c r="J6" s="26" t="inlineStr">
        <is>
          <t>Lowest-energy commercial model in Jegham et al. benchmark (&gt;70x below o3)</t>
        </is>
      </c>
      <c r="K6" s="26" t="inlineStr">
        <is>
          <t>arXiv:2505.09598</t>
        </is>
      </c>
    </row>
    <row r="7">
      <c r="A7" s="26" t="inlineStr">
        <is>
          <t>o3</t>
        </is>
      </c>
      <c r="B7" s="26" t="inlineStr">
        <is>
          <t>OpenAI</t>
        </is>
      </c>
      <c r="C7" s="26" t="inlineStr">
        <is>
          <t>Frontier</t>
        </is>
      </c>
      <c r="D7" s="26" t="inlineStr">
        <is>
          <t>always</t>
        </is>
      </c>
      <c r="E7" s="34" t="n">
        <v>5</v>
      </c>
      <c r="F7" s="34" t="n">
        <v>2.5</v>
      </c>
      <c r="G7" s="34" t="n">
        <v>10</v>
      </c>
      <c r="H7" s="36" t="inlineStr">
        <is>
          <t>T3</t>
        </is>
      </c>
      <c r="I7" s="26" t="inlineStr">
        <is>
          <t>2025-05</t>
        </is>
      </c>
      <c r="J7" s="26" t="inlineStr">
        <is>
          <t>Jegham et al.: 21.4 Wh/medium prompt and &gt;33 Wh/long prompt incl. hidden reasoning tokens; effective per-1k-generated-token rate</t>
        </is>
      </c>
      <c r="K7" s="26" t="inlineStr">
        <is>
          <t>arXiv:2505.09598</t>
        </is>
      </c>
    </row>
    <row r="8">
      <c r="A8" s="26" t="inlineStr">
        <is>
          <t>o4-mini</t>
        </is>
      </c>
      <c r="B8" s="26" t="inlineStr">
        <is>
          <t>OpenAI</t>
        </is>
      </c>
      <c r="C8" s="26" t="inlineStr">
        <is>
          <t>Mid</t>
        </is>
      </c>
      <c r="D8" s="26" t="inlineStr">
        <is>
          <t>always</t>
        </is>
      </c>
      <c r="E8" s="34" t="n">
        <v>1.2</v>
      </c>
      <c r="F8" s="34" t="n">
        <v>0.4</v>
      </c>
      <c r="G8" s="34" t="n">
        <v>3.6</v>
      </c>
      <c r="H8" s="35" t="inlineStr">
        <is>
          <t>T4</t>
        </is>
      </c>
      <c r="I8" s="26" t="inlineStr">
        <is>
          <t>2026-06</t>
        </is>
      </c>
      <c r="J8" s="26" t="inlineStr">
        <is>
          <t>No direct measurement; scaled from o3-mini benchmark position (~2.4 Wh/medium query) and mini-class serving</t>
        </is>
      </c>
      <c r="K8" s="26" t="inlineStr">
        <is>
          <t>arXiv:2505.09598 (o3-mini anchor); class-based scaling</t>
        </is>
      </c>
    </row>
    <row r="9">
      <c r="A9" s="26" t="inlineStr">
        <is>
          <t>ChatGPT (fleet average)</t>
        </is>
      </c>
      <c r="B9" s="26" t="inlineStr">
        <is>
          <t>OpenAI</t>
        </is>
      </c>
      <c r="C9" s="26" t="inlineStr">
        <is>
          <t>Frontier</t>
        </is>
      </c>
      <c r="D9" s="26" t="inlineStr">
        <is>
          <t>mixed</t>
        </is>
      </c>
      <c r="E9" s="34" t="n">
        <v>1</v>
      </c>
      <c r="F9" s="34" t="n">
        <v>0.5</v>
      </c>
      <c r="G9" s="34" t="n">
        <v>2</v>
      </c>
      <c r="H9" s="37" t="inlineStr">
        <is>
          <t>T2</t>
        </is>
      </c>
      <c r="I9" s="26" t="inlineStr">
        <is>
          <t>2025-06</t>
        </is>
      </c>
      <c r="J9" s="26" t="inlineStr">
        <is>
          <t>Provider-disclosed 0.34 Wh/average query; boundary unstated; assumes ~300 output tokens/average query</t>
        </is>
      </c>
      <c r="K9" s="26" t="inlineStr">
        <is>
          <t>OpenAI (S. Altman) disclosure, June 2025</t>
        </is>
      </c>
    </row>
    <row r="10">
      <c r="A10" s="26" t="inlineStr">
        <is>
          <t>Claude Sonnet 4.5</t>
        </is>
      </c>
      <c r="B10" s="26" t="inlineStr">
        <is>
          <t>Anthropic</t>
        </is>
      </c>
      <c r="C10" s="26" t="inlineStr">
        <is>
          <t>Frontier</t>
        </is>
      </c>
      <c r="D10" s="26" t="inlineStr">
        <is>
          <t>optional</t>
        </is>
      </c>
      <c r="E10" s="34" t="n">
        <v>0.6</v>
      </c>
      <c r="F10" s="34" t="n">
        <v>0.2</v>
      </c>
      <c r="G10" s="34" t="n">
        <v>1.8</v>
      </c>
      <c r="H10" s="35" t="inlineStr">
        <is>
          <t>T4</t>
        </is>
      </c>
      <c r="I10" s="26" t="inlineStr">
        <is>
          <t>2026-06</t>
        </is>
      </c>
      <c r="J10" s="26" t="inlineStr">
        <is>
          <t>No public measurement; frontier-efficient class; predecessor Claude 3.7 Sonnet ranked highest eco-efficiency in cross-efficiency DEA</t>
        </is>
      </c>
      <c r="K10" s="26" t="inlineStr">
        <is>
          <t>Class-based estimate; anchor: arXiv:2505.09598 (Claude 3.7 Sonnet)</t>
        </is>
      </c>
    </row>
    <row r="11">
      <c r="A11" s="26" t="inlineStr">
        <is>
          <t>Claude Haiku 4.5</t>
        </is>
      </c>
      <c r="B11" s="26" t="inlineStr">
        <is>
          <t>Anthropic</t>
        </is>
      </c>
      <c r="C11" s="26" t="inlineStr">
        <is>
          <t>Small</t>
        </is>
      </c>
      <c r="D11" s="26" t="inlineStr">
        <is>
          <t>optional</t>
        </is>
      </c>
      <c r="E11" s="34" t="n">
        <v>0.15</v>
      </c>
      <c r="F11" s="34" t="n">
        <v>0.05</v>
      </c>
      <c r="G11" s="34" t="n">
        <v>0.45</v>
      </c>
      <c r="H11" s="35" t="inlineStr">
        <is>
          <t>T4</t>
        </is>
      </c>
      <c r="I11" s="26" t="inlineStr">
        <is>
          <t>2026-06</t>
        </is>
      </c>
      <c r="J11" s="26" t="inlineStr">
        <is>
          <t>No public measurement; small-class serving assumption</t>
        </is>
      </c>
      <c r="K11" s="26" t="inlineStr">
        <is>
          <t>Class-based estimate per FRAMEWORK.md §4.5</t>
        </is>
      </c>
    </row>
    <row r="12">
      <c r="A12" s="26" t="inlineStr">
        <is>
          <t>Claude Opus 4.5</t>
        </is>
      </c>
      <c r="B12" s="26" t="inlineStr">
        <is>
          <t>Anthropic</t>
        </is>
      </c>
      <c r="C12" s="26" t="inlineStr">
        <is>
          <t>Frontier</t>
        </is>
      </c>
      <c r="D12" s="26" t="inlineStr">
        <is>
          <t>optional</t>
        </is>
      </c>
      <c r="E12" s="34" t="n">
        <v>1.2</v>
      </c>
      <c r="F12" s="34" t="n">
        <v>0.4</v>
      </c>
      <c r="G12" s="34" t="n">
        <v>3.6</v>
      </c>
      <c r="H12" s="35" t="inlineStr">
        <is>
          <t>T4</t>
        </is>
      </c>
      <c r="I12" s="26" t="inlineStr">
        <is>
          <t>2026-06</t>
        </is>
      </c>
      <c r="J12" s="26" t="inlineStr">
        <is>
          <t>No public measurement; large-frontier class assumption</t>
        </is>
      </c>
      <c r="K12" s="26" t="inlineStr">
        <is>
          <t>Class-based estimate per FRAMEWORK.md §4.5</t>
        </is>
      </c>
    </row>
    <row r="13">
      <c r="A13" s="26" t="inlineStr">
        <is>
          <t>Claude 3.7 Sonnet</t>
        </is>
      </c>
      <c r="B13" s="26" t="inlineStr">
        <is>
          <t>Anthropic</t>
        </is>
      </c>
      <c r="C13" s="26" t="inlineStr">
        <is>
          <t>Frontier</t>
        </is>
      </c>
      <c r="D13" s="26" t="inlineStr">
        <is>
          <t>optional</t>
        </is>
      </c>
      <c r="E13" s="34" t="n">
        <v>1.4</v>
      </c>
      <c r="F13" s="34" t="n">
        <v>0.7</v>
      </c>
      <c r="G13" s="34" t="n">
        <v>2.8</v>
      </c>
      <c r="H13" s="36" t="inlineStr">
        <is>
          <t>T3</t>
        </is>
      </c>
      <c r="I13" s="26" t="inlineStr">
        <is>
          <t>2025-05</t>
        </is>
      </c>
      <c r="J13" s="26" t="inlineStr">
        <is>
          <t>Jegham et al. ~2.8 Wh/medium query; highest eco-efficiency rank among frontier models</t>
        </is>
      </c>
      <c r="K13" s="26" t="inlineStr">
        <is>
          <t>arXiv:2505.09598</t>
        </is>
      </c>
    </row>
    <row r="14">
      <c r="A14" s="26" t="inlineStr">
        <is>
          <t>Gemini (app median)</t>
        </is>
      </c>
      <c r="B14" s="26" t="inlineStr">
        <is>
          <t>Google</t>
        </is>
      </c>
      <c r="C14" s="26" t="inlineStr">
        <is>
          <t>Frontier</t>
        </is>
      </c>
      <c r="D14" s="26" t="inlineStr">
        <is>
          <t>mixed</t>
        </is>
      </c>
      <c r="E14" s="34" t="n">
        <v>0.65</v>
      </c>
      <c r="F14" s="34" t="n">
        <v>0.33</v>
      </c>
      <c r="G14" s="34" t="n">
        <v>1.3</v>
      </c>
      <c r="H14" s="37" t="inlineStr">
        <is>
          <t>T2</t>
        </is>
      </c>
      <c r="I14" s="26" t="inlineStr">
        <is>
          <t>2025-05</t>
        </is>
      </c>
      <c r="J14" s="26" t="inlineStr">
        <is>
          <t>Google full-stack disclosure: 0.24 Wh/median app text prompt (incl. accelerator 58% + host 25% + idle 10% + PUE 1.09); assumes ~350 output tokens/median prompt; strongest published boundary</t>
        </is>
      </c>
      <c r="K14" s="26" t="inlineStr">
        <is>
          <t>arXiv:2508.15734 (Elsworth et al., Google, 2025)</t>
        </is>
      </c>
    </row>
    <row r="15">
      <c r="A15" s="26" t="inlineStr">
        <is>
          <t>Gemini 2.5 Pro</t>
        </is>
      </c>
      <c r="B15" s="26" t="inlineStr">
        <is>
          <t>Google</t>
        </is>
      </c>
      <c r="C15" s="26" t="inlineStr">
        <is>
          <t>Frontier</t>
        </is>
      </c>
      <c r="D15" s="26" t="inlineStr">
        <is>
          <t>optional</t>
        </is>
      </c>
      <c r="E15" s="34" t="n">
        <v>0.8</v>
      </c>
      <c r="F15" s="34" t="n">
        <v>0.27</v>
      </c>
      <c r="G15" s="34" t="n">
        <v>2.4</v>
      </c>
      <c r="H15" s="35" t="inlineStr">
        <is>
          <t>T4</t>
        </is>
      </c>
      <c r="I15" s="26" t="inlineStr">
        <is>
          <t>2026-06</t>
        </is>
      </c>
      <c r="J15" s="26" t="inlineStr">
        <is>
          <t>No per-model disclosure; frontier class on TPU fleet; fleet-median anchor suggests high serving efficiency</t>
        </is>
      </c>
      <c r="K15" s="26" t="inlineStr">
        <is>
          <t>Class-based estimate; anchor: arXiv:2508.15734</t>
        </is>
      </c>
    </row>
    <row r="16">
      <c r="A16" s="26" t="inlineStr">
        <is>
          <t>Gemini 2.5 Flash</t>
        </is>
      </c>
      <c r="B16" s="26" t="inlineStr">
        <is>
          <t>Google</t>
        </is>
      </c>
      <c r="C16" s="26" t="inlineStr">
        <is>
          <t>Mid</t>
        </is>
      </c>
      <c r="D16" s="26" t="inlineStr">
        <is>
          <t>optional</t>
        </is>
      </c>
      <c r="E16" s="34" t="n">
        <v>0.2</v>
      </c>
      <c r="F16" s="34" t="n">
        <v>0.07000000000000001</v>
      </c>
      <c r="G16" s="34" t="n">
        <v>0.6</v>
      </c>
      <c r="H16" s="35" t="inlineStr">
        <is>
          <t>T4</t>
        </is>
      </c>
      <c r="I16" s="26" t="inlineStr">
        <is>
          <t>2026-06</t>
        </is>
      </c>
      <c r="J16" s="26" t="inlineStr">
        <is>
          <t>No per-model disclosure; efficiency-optimized mid class on TPU fleet</t>
        </is>
      </c>
      <c r="K16" s="26" t="inlineStr">
        <is>
          <t>Class-based estimate; anchor: arXiv:2508.15734</t>
        </is>
      </c>
    </row>
    <row r="17">
      <c r="A17" s="26" t="inlineStr">
        <is>
          <t>Mistral Large 2</t>
        </is>
      </c>
      <c r="B17" s="26" t="inlineStr">
        <is>
          <t>Mistral AI</t>
        </is>
      </c>
      <c r="C17" s="26" t="inlineStr">
        <is>
          <t>Frontier</t>
        </is>
      </c>
      <c r="D17" s="26" t="inlineStr">
        <is>
          <t>no</t>
        </is>
      </c>
      <c r="E17" s="34" t="n">
        <v>0.28</v>
      </c>
      <c r="F17" s="34" t="n">
        <v>0.14</v>
      </c>
      <c r="G17" s="34" t="n">
        <v>0.5600000000000001</v>
      </c>
      <c r="H17" s="37" t="inlineStr">
        <is>
          <t>T2</t>
        </is>
      </c>
      <c r="I17" s="26" t="inlineStr">
        <is>
          <t>2025-01</t>
        </is>
      </c>
      <c r="J17" s="26" t="inlineStr">
        <is>
          <t>First audited LLM LCA (ADEME/Carbone 4 framework; peer-reviewed by Resilio &amp; Hubblo): 1.14 g CO2e &amp; 45 mL water per 400-token response (incl. amortized training); energy back-calculated from 123B dense physics + LCA carbon on French-adjacent grid</t>
        </is>
      </c>
      <c r="K17" s="26" t="inlineStr">
        <is>
          <t>Mistral AI environmental report (July 2025); ISO 14040/44 + ITU-T L.1410 compliant</t>
        </is>
      </c>
    </row>
    <row r="18">
      <c r="A18" s="26" t="inlineStr">
        <is>
          <t>Mistral Small 3</t>
        </is>
      </c>
      <c r="B18" s="26" t="inlineStr">
        <is>
          <t>Mistral AI</t>
        </is>
      </c>
      <c r="C18" s="26" t="inlineStr">
        <is>
          <t>Small</t>
        </is>
      </c>
      <c r="D18" s="26" t="inlineStr">
        <is>
          <t>no</t>
        </is>
      </c>
      <c r="E18" s="34" t="n">
        <v>0.055</v>
      </c>
      <c r="F18" s="34" t="n">
        <v>0.018</v>
      </c>
      <c r="G18" s="34" t="n">
        <v>0.17</v>
      </c>
      <c r="H18" s="35" t="inlineStr">
        <is>
          <t>T4</t>
        </is>
      </c>
      <c r="I18" s="26" t="inlineStr">
        <is>
          <t>2025-01</t>
        </is>
      </c>
      <c r="J18" s="26" t="inlineStr">
        <is>
          <t>24B dense; parameter-count physics at u=0.3 on H100-class</t>
        </is>
      </c>
      <c r="K18" s="26" t="inlineStr">
        <is>
          <t>FRAMEWORK.md §4.5 Tier-4 model; EcoLogits methodology</t>
        </is>
      </c>
    </row>
    <row r="19">
      <c r="A19" s="26" t="inlineStr">
        <is>
          <t>Llama 3.1 8B</t>
        </is>
      </c>
      <c r="B19" s="26" t="inlineStr">
        <is>
          <t>Meta</t>
        </is>
      </c>
      <c r="C19" s="26" t="inlineStr">
        <is>
          <t>Small</t>
        </is>
      </c>
      <c r="D19" s="26" t="inlineStr">
        <is>
          <t>no</t>
        </is>
      </c>
      <c r="E19" s="34" t="n">
        <v>0.02</v>
      </c>
      <c r="F19" s="34" t="n">
        <v>0.01</v>
      </c>
      <c r="G19" s="34" t="n">
        <v>0.04</v>
      </c>
      <c r="H19" s="36" t="inlineStr">
        <is>
          <t>T3</t>
        </is>
      </c>
      <c r="I19" s="26" t="inlineStr">
        <is>
          <t>2025-02</t>
        </is>
      </c>
      <c r="J19" s="26" t="inlineStr">
        <is>
          <t>Open weights; benchmarked GPU energy (AI Energy Score, H100) x serving-stack multiplier 1.7</t>
        </is>
      </c>
      <c r="K19" s="26" t="inlineStr">
        <is>
          <t>AI Energy Score leaderboard (2025); arXiv:2505.09598</t>
        </is>
      </c>
    </row>
    <row r="20">
      <c r="A20" s="26" t="inlineStr">
        <is>
          <t>Llama 3.3 70B</t>
        </is>
      </c>
      <c r="B20" s="26" t="inlineStr">
        <is>
          <t>Meta</t>
        </is>
      </c>
      <c r="C20" s="26" t="inlineStr">
        <is>
          <t>Mid</t>
        </is>
      </c>
      <c r="D20" s="26" t="inlineStr">
        <is>
          <t>no</t>
        </is>
      </c>
      <c r="E20" s="34" t="n">
        <v>0.15</v>
      </c>
      <c r="F20" s="34" t="n">
        <v>0.07000000000000001</v>
      </c>
      <c r="G20" s="34" t="n">
        <v>0.3</v>
      </c>
      <c r="H20" s="36" t="inlineStr">
        <is>
          <t>T3</t>
        </is>
      </c>
      <c r="I20" s="26" t="inlineStr">
        <is>
          <t>2025-02</t>
        </is>
      </c>
      <c r="J20" s="26" t="inlineStr">
        <is>
          <t>Open weights; benchmarked GPU energy (AI Energy Score, H100) x serving-stack multiplier 1.7</t>
        </is>
      </c>
      <c r="K20" s="26" t="inlineStr">
        <is>
          <t>AI Energy Score leaderboard (2025)</t>
        </is>
      </c>
    </row>
    <row r="21">
      <c r="A21" s="26" t="inlineStr">
        <is>
          <t>Llama 3.1 405B</t>
        </is>
      </c>
      <c r="B21" s="26" t="inlineStr">
        <is>
          <t>Meta</t>
        </is>
      </c>
      <c r="C21" s="26" t="inlineStr">
        <is>
          <t>Frontier</t>
        </is>
      </c>
      <c r="D21" s="26" t="inlineStr">
        <is>
          <t>no</t>
        </is>
      </c>
      <c r="E21" s="34" t="n">
        <v>0.9</v>
      </c>
      <c r="F21" s="34" t="n">
        <v>0.3</v>
      </c>
      <c r="G21" s="34" t="n">
        <v>2.7</v>
      </c>
      <c r="H21" s="35" t="inlineStr">
        <is>
          <t>T4</t>
        </is>
      </c>
      <c r="I21" s="26" t="inlineStr">
        <is>
          <t>2025-02</t>
        </is>
      </c>
      <c r="J21" s="26" t="inlineStr">
        <is>
          <t>405B dense; parameter-count physics at u=0.3; large dense models serve inefficiently</t>
        </is>
      </c>
      <c r="K21" s="26" t="inlineStr">
        <is>
          <t>FRAMEWORK.md §4.5 Tier-4 model</t>
        </is>
      </c>
    </row>
    <row r="22">
      <c r="A22" s="26" t="inlineStr">
        <is>
          <t>Llama 4 Maverick</t>
        </is>
      </c>
      <c r="B22" s="26" t="inlineStr">
        <is>
          <t>Meta</t>
        </is>
      </c>
      <c r="C22" s="26" t="inlineStr">
        <is>
          <t>Mid</t>
        </is>
      </c>
      <c r="D22" s="26" t="inlineStr">
        <is>
          <t>no</t>
        </is>
      </c>
      <c r="E22" s="34" t="n">
        <v>0.05</v>
      </c>
      <c r="F22" s="34" t="n">
        <v>0.017</v>
      </c>
      <c r="G22" s="34" t="n">
        <v>0.15</v>
      </c>
      <c r="H22" s="35" t="inlineStr">
        <is>
          <t>T4</t>
        </is>
      </c>
      <c r="I22" s="26" t="inlineStr">
        <is>
          <t>2025-04</t>
        </is>
      </c>
      <c r="J22" s="26" t="inlineStr">
        <is>
          <t>MoE ~17B active of 400B total; physics on ACTIVE parameters (P3: MoE energy scales with active params)</t>
        </is>
      </c>
      <c r="K22" s="26" t="inlineStr">
        <is>
          <t>FRAMEWORK.md §4.5 Tier-4 model</t>
        </is>
      </c>
    </row>
    <row r="23">
      <c r="A23" s="26" t="inlineStr">
        <is>
          <t>DeepSeek-V3.2</t>
        </is>
      </c>
      <c r="B23" s="26" t="inlineStr">
        <is>
          <t>DeepSeek</t>
        </is>
      </c>
      <c r="C23" s="26" t="inlineStr">
        <is>
          <t>Frontier</t>
        </is>
      </c>
      <c r="D23" s="26" t="inlineStr">
        <is>
          <t>optional</t>
        </is>
      </c>
      <c r="E23" s="34" t="n">
        <v>0.3</v>
      </c>
      <c r="F23" s="34" t="n">
        <v>0.1</v>
      </c>
      <c r="G23" s="34" t="n">
        <v>0.9</v>
      </c>
      <c r="H23" s="35" t="inlineStr">
        <is>
          <t>T4</t>
        </is>
      </c>
      <c r="I23" s="26" t="inlineStr">
        <is>
          <t>2026-03</t>
        </is>
      </c>
      <c r="J23" s="26" t="inlineStr">
        <is>
          <t>MoE ~37B active of 671B total; physics + Jegham V3 measurement (9.1 Wh/long query) suggests production serving well above physics floor</t>
        </is>
      </c>
      <c r="K23" s="26" t="inlineStr">
        <is>
          <t>arXiv:2505.09598 (V3 anchor); Tier-4 model</t>
        </is>
      </c>
    </row>
    <row r="24">
      <c r="A24" s="26" t="inlineStr">
        <is>
          <t>DeepSeek-R1</t>
        </is>
      </c>
      <c r="B24" s="26" t="inlineStr">
        <is>
          <t>DeepSeek</t>
        </is>
      </c>
      <c r="C24" s="26" t="inlineStr">
        <is>
          <t>Frontier</t>
        </is>
      </c>
      <c r="D24" s="26" t="inlineStr">
        <is>
          <t>always</t>
        </is>
      </c>
      <c r="E24" s="34" t="n">
        <v>3</v>
      </c>
      <c r="F24" s="34" t="n">
        <v>1.5</v>
      </c>
      <c r="G24" s="34" t="n">
        <v>6</v>
      </c>
      <c r="H24" s="36" t="inlineStr">
        <is>
          <t>T3</t>
        </is>
      </c>
      <c r="I24" s="26" t="inlineStr">
        <is>
          <t>2025-05</t>
        </is>
      </c>
      <c r="J24" s="26" t="inlineStr">
        <is>
          <t>Jegham et al.: ~29 Wh/long prompt with extended reasoning chains; effective rate over generated (incl. reasoning) tokens</t>
        </is>
      </c>
      <c r="K24" s="26" t="inlineStr">
        <is>
          <t>arXiv:2505.09598</t>
        </is>
      </c>
    </row>
    <row r="25">
      <c r="A25" s="26" t="inlineStr">
        <is>
          <t>Qwen3 32B</t>
        </is>
      </c>
      <c r="B25" s="26" t="inlineStr">
        <is>
          <t>Alibaba</t>
        </is>
      </c>
      <c r="C25" s="26" t="inlineStr">
        <is>
          <t>Mid</t>
        </is>
      </c>
      <c r="D25" s="26" t="inlineStr">
        <is>
          <t>optional</t>
        </is>
      </c>
      <c r="E25" s="34" t="n">
        <v>0.075</v>
      </c>
      <c r="F25" s="34" t="n">
        <v>0.025</v>
      </c>
      <c r="G25" s="34" t="n">
        <v>0.23</v>
      </c>
      <c r="H25" s="35" t="inlineStr">
        <is>
          <t>T4</t>
        </is>
      </c>
      <c r="I25" s="26" t="inlineStr">
        <is>
          <t>2025-05</t>
        </is>
      </c>
      <c r="J25" s="26" t="inlineStr">
        <is>
          <t>32B dense open weights; parameter-count physics at u=0.3</t>
        </is>
      </c>
      <c r="K25" s="26" t="inlineStr">
        <is>
          <t>FRAMEWORK.md §4.5 Tier-4 model</t>
        </is>
      </c>
    </row>
    <row r="26">
      <c r="A26" s="26" t="inlineStr">
        <is>
          <t>Qwen3 235B-A22B</t>
        </is>
      </c>
      <c r="B26" s="26" t="inlineStr">
        <is>
          <t>Alibaba</t>
        </is>
      </c>
      <c r="C26" s="26" t="inlineStr">
        <is>
          <t>Frontier</t>
        </is>
      </c>
      <c r="D26" s="26" t="inlineStr">
        <is>
          <t>optional</t>
        </is>
      </c>
      <c r="E26" s="34" t="n">
        <v>0.06</v>
      </c>
      <c r="F26" s="34" t="n">
        <v>0.02</v>
      </c>
      <c r="G26" s="34" t="n">
        <v>0.18</v>
      </c>
      <c r="H26" s="35" t="inlineStr">
        <is>
          <t>T4</t>
        </is>
      </c>
      <c r="I26" s="26" t="inlineStr">
        <is>
          <t>2025-05</t>
        </is>
      </c>
      <c r="J26" s="26" t="inlineStr">
        <is>
          <t>MoE 22B active of 235B; physics on active parameters</t>
        </is>
      </c>
      <c r="K26" s="26" t="inlineStr">
        <is>
          <t>FRAMEWORK.md §4.5 Tier-4 model</t>
        </is>
      </c>
    </row>
    <row r="27">
      <c r="A27" s="26" t="inlineStr">
        <is>
          <t>Custom / my own model</t>
        </is>
      </c>
      <c r="B27" s="26" t="inlineStr">
        <is>
          <t>(user)</t>
        </is>
      </c>
      <c r="C27" s="26" t="inlineStr">
        <is>
          <t>Mid</t>
        </is>
      </c>
      <c r="D27" s="26" t="inlineStr">
        <is>
          <t>no</t>
        </is>
      </c>
      <c r="E27" s="34" t="n">
        <v>0.15</v>
      </c>
      <c r="F27" s="34" t="n">
        <v>0.05</v>
      </c>
      <c r="G27" s="34" t="n">
        <v>0.45</v>
      </c>
      <c r="H27" s="35" t="inlineStr">
        <is>
          <t>T4</t>
        </is>
      </c>
      <c r="I27" s="26" t="inlineStr">
        <is>
          <t>2026-07</t>
        </is>
      </c>
      <c r="J27" s="26" t="inlineStr">
        <is>
          <t>Editable row: replace with your own measurement (T1) or physics estimate</t>
        </is>
      </c>
      <c r="K27" s="26" t="inlineStr">
        <is>
          <t>User-supplied</t>
        </is>
      </c>
    </row>
    <row r="29">
      <c r="A29" s="12" t="inlineStr">
        <is>
          <t>IT boundary = accelerator + host + idle capacity (serving-stack multiplier S already included). Energy ONLY is stored per model — carbon and water are computed from the separate Region/Facility tables (P3). Tier key: T1 measured · T2 disclosed · T3 benchmarked · T4 modeled (§4.5). Source of truth: data/models.csv.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9" customWidth="1" min="8" max="8"/>
    <col width="55" customWidth="1" min="9" max="9"/>
    <col width="42" customWidth="1" min="10" max="10"/>
  </cols>
  <sheetData>
    <row r="1">
      <c r="A1" s="16" t="inlineStr">
        <is>
          <t>Region</t>
        </is>
      </c>
      <c r="B1" s="16" t="inlineStr">
        <is>
          <t>CI location (g CO2e/kWh)</t>
        </is>
      </c>
      <c r="C1" s="16" t="inlineStr">
        <is>
          <t>CI low</t>
        </is>
      </c>
      <c r="D1" s="16" t="inlineStr">
        <is>
          <t>CI high</t>
        </is>
      </c>
      <c r="E1" s="16" t="inlineStr">
        <is>
          <t>EWIF (L/kWh)</t>
        </is>
      </c>
      <c r="F1" s="16" t="inlineStr">
        <is>
          <t>EWIF low</t>
        </is>
      </c>
      <c r="G1" s="16" t="inlineStr">
        <is>
          <t>EWIF high</t>
        </is>
      </c>
      <c r="H1" s="16" t="inlineStr">
        <is>
          <t>Vintage</t>
        </is>
      </c>
      <c r="I1" s="16" t="inlineStr">
        <is>
          <t>Source</t>
        </is>
      </c>
      <c r="J1" s="16" t="inlineStr">
        <is>
          <t>Notes</t>
        </is>
      </c>
    </row>
    <row r="2">
      <c r="A2" s="26" t="inlineStr">
        <is>
          <t>Global average</t>
        </is>
      </c>
      <c r="B2" s="38" t="n">
        <v>473</v>
      </c>
      <c r="C2" s="38" t="n">
        <v>425</v>
      </c>
      <c r="D2" s="38" t="n">
        <v>520</v>
      </c>
      <c r="E2" s="39" t="n">
        <v>2</v>
      </c>
      <c r="F2" s="39" t="n">
        <v>1</v>
      </c>
      <c r="G2" s="39" t="n">
        <v>4</v>
      </c>
      <c r="H2" s="26" t="inlineStr">
        <is>
          <t>2024</t>
        </is>
      </c>
      <c r="I2" s="26" t="inlineStr">
        <is>
          <t>Ember Global Electricity Review 2025 (2024 data); EWIF: Li et al. arXiv:2304.03271 + Macknick et al. 2012</t>
        </is>
      </c>
      <c r="J2" s="26" t="inlineStr">
        <is>
          <t>Default when hosting region is unknown</t>
        </is>
      </c>
    </row>
    <row r="3">
      <c r="A3" s="26" t="inlineStr">
        <is>
          <t>United States</t>
        </is>
      </c>
      <c r="B3" s="38" t="n">
        <v>384</v>
      </c>
      <c r="C3" s="38" t="n">
        <v>350</v>
      </c>
      <c r="D3" s="38" t="n">
        <v>420</v>
      </c>
      <c r="E3" s="39" t="n">
        <v>1.8</v>
      </c>
      <c r="F3" s="39" t="n">
        <v>1</v>
      </c>
      <c r="G3" s="39" t="n">
        <v>3.1</v>
      </c>
      <c r="H3" s="26" t="inlineStr">
        <is>
          <t>2024</t>
        </is>
      </c>
      <c r="I3" s="26" t="inlineStr">
        <is>
          <t>Ember (2024 data); Macknick et al. operational consumption factors</t>
        </is>
      </c>
      <c r="J3" s="26" t="inlineStr">
        <is>
          <t>EWIF varies strongly by state (CAISO vs coal states)</t>
        </is>
      </c>
    </row>
    <row r="4">
      <c r="A4" s="26" t="inlineStr">
        <is>
          <t>EU average</t>
        </is>
      </c>
      <c r="B4" s="38" t="n">
        <v>213</v>
      </c>
      <c r="C4" s="38" t="n">
        <v>190</v>
      </c>
      <c r="D4" s="38" t="n">
        <v>240</v>
      </c>
      <c r="E4" s="39" t="n">
        <v>1.9</v>
      </c>
      <c r="F4" s="39" t="n">
        <v>1</v>
      </c>
      <c r="G4" s="39" t="n">
        <v>3</v>
      </c>
      <c r="H4" s="26" t="inlineStr">
        <is>
          <t>2024</t>
        </is>
      </c>
      <c r="I4" s="26" t="inlineStr">
        <is>
          <t>Ember (2024 data)</t>
        </is>
      </c>
      <c r="J4" s="26" t="inlineStr"/>
    </row>
    <row r="5">
      <c r="A5" s="26" t="inlineStr">
        <is>
          <t>France</t>
        </is>
      </c>
      <c r="B5" s="38" t="n">
        <v>40</v>
      </c>
      <c r="C5" s="38" t="n">
        <v>20</v>
      </c>
      <c r="D5" s="38" t="n">
        <v>60</v>
      </c>
      <c r="E5" s="39" t="n">
        <v>2.4</v>
      </c>
      <c r="F5" s="39" t="n">
        <v>1.2</v>
      </c>
      <c r="G5" s="39" t="n">
        <v>3.6</v>
      </c>
      <c r="H5" s="26" t="inlineStr">
        <is>
          <t>2024</t>
        </is>
      </c>
      <c r="I5" s="26" t="inlineStr">
        <is>
          <t>Ember (2024 data)</t>
        </is>
      </c>
      <c r="J5" s="26" t="inlineStr">
        <is>
          <t>Nuclear-dominated grid: very low carbon; cooling-tower evaporation raises EWIF</t>
        </is>
      </c>
    </row>
    <row r="6">
      <c r="A6" s="26" t="inlineStr">
        <is>
          <t>Germany</t>
        </is>
      </c>
      <c r="B6" s="38" t="n">
        <v>344</v>
      </c>
      <c r="C6" s="38" t="n">
        <v>300</v>
      </c>
      <c r="D6" s="38" t="n">
        <v>390</v>
      </c>
      <c r="E6" s="39" t="n">
        <v>1.6</v>
      </c>
      <c r="F6" s="39" t="n">
        <v>0.8</v>
      </c>
      <c r="G6" s="39" t="n">
        <v>2.4</v>
      </c>
      <c r="H6" s="26" t="inlineStr">
        <is>
          <t>2024</t>
        </is>
      </c>
      <c r="I6" s="26" t="inlineStr">
        <is>
          <t>Ember (2024 data)</t>
        </is>
      </c>
      <c r="J6" s="26" t="inlineStr"/>
    </row>
    <row r="7">
      <c r="A7" s="26" t="inlineStr">
        <is>
          <t>United Kingdom</t>
        </is>
      </c>
      <c r="B7" s="38" t="n">
        <v>124</v>
      </c>
      <c r="C7" s="38" t="n">
        <v>100</v>
      </c>
      <c r="D7" s="38" t="n">
        <v>150</v>
      </c>
      <c r="E7" s="39" t="n">
        <v>1.4</v>
      </c>
      <c r="F7" s="39" t="n">
        <v>0.7</v>
      </c>
      <c r="G7" s="39" t="n">
        <v>2.1</v>
      </c>
      <c r="H7" s="26" t="inlineStr">
        <is>
          <t>2024</t>
        </is>
      </c>
      <c r="I7" s="26" t="inlineStr">
        <is>
          <t>Ember (2024 data)</t>
        </is>
      </c>
      <c r="J7" s="26" t="inlineStr"/>
    </row>
    <row r="8">
      <c r="A8" s="26" t="inlineStr">
        <is>
          <t>Ireland</t>
        </is>
      </c>
      <c r="B8" s="38" t="n">
        <v>280</v>
      </c>
      <c r="C8" s="38" t="n">
        <v>240</v>
      </c>
      <c r="D8" s="38" t="n">
        <v>330</v>
      </c>
      <c r="E8" s="39" t="n">
        <v>1.3</v>
      </c>
      <c r="F8" s="39" t="n">
        <v>0.7</v>
      </c>
      <c r="G8" s="39" t="n">
        <v>2</v>
      </c>
      <c r="H8" s="26" t="inlineStr">
        <is>
          <t>2024</t>
        </is>
      </c>
      <c r="I8" s="26" t="inlineStr">
        <is>
          <t>Ember (2024 data)</t>
        </is>
      </c>
      <c r="J8" s="26" t="inlineStr">
        <is>
          <t>Major EU data-center hub</t>
        </is>
      </c>
    </row>
    <row r="9">
      <c r="A9" s="26" t="inlineStr">
        <is>
          <t>Netherlands</t>
        </is>
      </c>
      <c r="B9" s="38" t="n">
        <v>240</v>
      </c>
      <c r="C9" s="38" t="n">
        <v>200</v>
      </c>
      <c r="D9" s="38" t="n">
        <v>290</v>
      </c>
      <c r="E9" s="39" t="n">
        <v>1.4</v>
      </c>
      <c r="F9" s="39" t="n">
        <v>0.7</v>
      </c>
      <c r="G9" s="39" t="n">
        <v>2.1</v>
      </c>
      <c r="H9" s="26" t="inlineStr">
        <is>
          <t>2024</t>
        </is>
      </c>
      <c r="I9" s="26" t="inlineStr">
        <is>
          <t>Ember (2024 data)</t>
        </is>
      </c>
      <c r="J9" s="26" t="inlineStr"/>
    </row>
    <row r="10">
      <c r="A10" s="26" t="inlineStr">
        <is>
          <t>Poland</t>
        </is>
      </c>
      <c r="B10" s="38" t="n">
        <v>620</v>
      </c>
      <c r="C10" s="38" t="n">
        <v>560</v>
      </c>
      <c r="D10" s="38" t="n">
        <v>680</v>
      </c>
      <c r="E10" s="39" t="n">
        <v>1.6</v>
      </c>
      <c r="F10" s="39" t="n">
        <v>0.8</v>
      </c>
      <c r="G10" s="39" t="n">
        <v>2.4</v>
      </c>
      <c r="H10" s="26" t="inlineStr">
        <is>
          <t>2024</t>
        </is>
      </c>
      <c r="I10" s="26" t="inlineStr">
        <is>
          <t>Ember (2024 data)</t>
        </is>
      </c>
      <c r="J10" s="26" t="inlineStr">
        <is>
          <t>Highest-carbon grid in the EU</t>
        </is>
      </c>
    </row>
    <row r="11">
      <c r="A11" s="26" t="inlineStr">
        <is>
          <t>Sweden</t>
        </is>
      </c>
      <c r="B11" s="38" t="n">
        <v>30</v>
      </c>
      <c r="C11" s="38" t="n">
        <v>15</v>
      </c>
      <c r="D11" s="38" t="n">
        <v>45</v>
      </c>
      <c r="E11" s="39" t="n">
        <v>1.2</v>
      </c>
      <c r="F11" s="39" t="n">
        <v>0.6</v>
      </c>
      <c r="G11" s="39" t="n">
        <v>1.8</v>
      </c>
      <c r="H11" s="26" t="inlineStr">
        <is>
          <t>2024</t>
        </is>
      </c>
      <c r="I11" s="26" t="inlineStr">
        <is>
          <t>Ember (2024 data)</t>
        </is>
      </c>
      <c r="J11" s="26" t="inlineStr">
        <is>
          <t>Hydro + nuclear</t>
        </is>
      </c>
    </row>
    <row r="12">
      <c r="A12" s="26" t="inlineStr">
        <is>
          <t>Norway</t>
        </is>
      </c>
      <c r="B12" s="38" t="n">
        <v>30</v>
      </c>
      <c r="C12" s="38" t="n">
        <v>15</v>
      </c>
      <c r="D12" s="38" t="n">
        <v>45</v>
      </c>
      <c r="E12" s="39" t="n">
        <v>1.1</v>
      </c>
      <c r="F12" s="39" t="n">
        <v>0.5</v>
      </c>
      <c r="G12" s="39" t="n">
        <v>1.7</v>
      </c>
      <c r="H12" s="26" t="inlineStr">
        <is>
          <t>2024</t>
        </is>
      </c>
      <c r="I12" s="26" t="inlineStr">
        <is>
          <t>Ember (2024 data)</t>
        </is>
      </c>
      <c r="J12" s="26" t="inlineStr">
        <is>
          <t>Hydro-dominated; reservoir-evaporation attribution excluded (contested)</t>
        </is>
      </c>
    </row>
    <row r="13">
      <c r="A13" s="26" t="inlineStr">
        <is>
          <t>Canada</t>
        </is>
      </c>
      <c r="B13" s="38" t="n">
        <v>170</v>
      </c>
      <c r="C13" s="38" t="n">
        <v>130</v>
      </c>
      <c r="D13" s="38" t="n">
        <v>210</v>
      </c>
      <c r="E13" s="39" t="n">
        <v>1.5</v>
      </c>
      <c r="F13" s="39" t="n">
        <v>0.8</v>
      </c>
      <c r="G13" s="39" t="n">
        <v>2.3</v>
      </c>
      <c r="H13" s="26" t="inlineStr">
        <is>
          <t>2024</t>
        </is>
      </c>
      <c r="I13" s="26" t="inlineStr">
        <is>
          <t>Ember (2024 data)</t>
        </is>
      </c>
      <c r="J13" s="26" t="inlineStr">
        <is>
          <t>Hydro-heavy provinces far lower than average</t>
        </is>
      </c>
    </row>
    <row r="14">
      <c r="A14" s="26" t="inlineStr">
        <is>
          <t>Brazil</t>
        </is>
      </c>
      <c r="B14" s="38" t="n">
        <v>96</v>
      </c>
      <c r="C14" s="38" t="n">
        <v>70</v>
      </c>
      <c r="D14" s="38" t="n">
        <v>130</v>
      </c>
      <c r="E14" s="39" t="n">
        <v>2.5</v>
      </c>
      <c r="F14" s="39" t="n">
        <v>1.2</v>
      </c>
      <c r="G14" s="39" t="n">
        <v>4</v>
      </c>
      <c r="H14" s="26" t="inlineStr">
        <is>
          <t>2024</t>
        </is>
      </c>
      <c r="I14" s="26" t="inlineStr">
        <is>
          <t>Ember (2024 data)</t>
        </is>
      </c>
      <c r="J14" s="26" t="inlineStr">
        <is>
          <t>Hydro reservoir evaporation attribution excluded (contested; would raise EWIF several-fold)</t>
        </is>
      </c>
    </row>
    <row r="15">
      <c r="A15" s="26" t="inlineStr">
        <is>
          <t>China</t>
        </is>
      </c>
      <c r="B15" s="38" t="n">
        <v>534</v>
      </c>
      <c r="C15" s="38" t="n">
        <v>480</v>
      </c>
      <c r="D15" s="38" t="n">
        <v>590</v>
      </c>
      <c r="E15" s="39" t="n">
        <v>2.2</v>
      </c>
      <c r="F15" s="39" t="n">
        <v>1.1</v>
      </c>
      <c r="G15" s="39" t="n">
        <v>3.3</v>
      </c>
      <c r="H15" s="26" t="inlineStr">
        <is>
          <t>2024</t>
        </is>
      </c>
      <c r="I15" s="26" t="inlineStr">
        <is>
          <t>Ember (2024 data)</t>
        </is>
      </c>
      <c r="J15" s="26" t="inlineStr"/>
    </row>
    <row r="16">
      <c r="A16" s="26" t="inlineStr">
        <is>
          <t>India</t>
        </is>
      </c>
      <c r="B16" s="38" t="n">
        <v>708</v>
      </c>
      <c r="C16" s="38" t="n">
        <v>640</v>
      </c>
      <c r="D16" s="38" t="n">
        <v>780</v>
      </c>
      <c r="E16" s="39" t="n">
        <v>2.6</v>
      </c>
      <c r="F16" s="39" t="n">
        <v>1.3</v>
      </c>
      <c r="G16" s="39" t="n">
        <v>3.9</v>
      </c>
      <c r="H16" s="26" t="inlineStr">
        <is>
          <t>2024</t>
        </is>
      </c>
      <c r="I16" s="26" t="inlineStr">
        <is>
          <t>Ember (2024 data)</t>
        </is>
      </c>
      <c r="J16" s="26" t="inlineStr">
        <is>
          <t>Highest-carbon major grid</t>
        </is>
      </c>
    </row>
    <row r="17">
      <c r="A17" s="26" t="inlineStr">
        <is>
          <t>Japan</t>
        </is>
      </c>
      <c r="B17" s="38" t="n">
        <v>485</v>
      </c>
      <c r="C17" s="38" t="n">
        <v>440</v>
      </c>
      <c r="D17" s="38" t="n">
        <v>530</v>
      </c>
      <c r="E17" s="39" t="n">
        <v>1.9</v>
      </c>
      <c r="F17" s="39" t="n">
        <v>1</v>
      </c>
      <c r="G17" s="39" t="n">
        <v>2.9</v>
      </c>
      <c r="H17" s="26" t="inlineStr">
        <is>
          <t>2024</t>
        </is>
      </c>
      <c r="I17" s="26" t="inlineStr">
        <is>
          <t>Ember (2024 data)</t>
        </is>
      </c>
      <c r="J17" s="26" t="inlineStr"/>
    </row>
    <row r="18">
      <c r="A18" s="26" t="inlineStr">
        <is>
          <t>South Korea</t>
        </is>
      </c>
      <c r="B18" s="38" t="n">
        <v>415</v>
      </c>
      <c r="C18" s="38" t="n">
        <v>370</v>
      </c>
      <c r="D18" s="38" t="n">
        <v>460</v>
      </c>
      <c r="E18" s="39" t="n">
        <v>1.9</v>
      </c>
      <c r="F18" s="39" t="n">
        <v>1</v>
      </c>
      <c r="G18" s="39" t="n">
        <v>2.9</v>
      </c>
      <c r="H18" s="26" t="inlineStr">
        <is>
          <t>2024</t>
        </is>
      </c>
      <c r="I18" s="26" t="inlineStr">
        <is>
          <t>Ember (2024 data)</t>
        </is>
      </c>
      <c r="J18" s="26" t="inlineStr"/>
    </row>
    <row r="19">
      <c r="A19" s="26" t="inlineStr">
        <is>
          <t>Singapore</t>
        </is>
      </c>
      <c r="B19" s="38" t="n">
        <v>470</v>
      </c>
      <c r="C19" s="38" t="n">
        <v>420</v>
      </c>
      <c r="D19" s="38" t="n">
        <v>520</v>
      </c>
      <c r="E19" s="39" t="n">
        <v>1.7</v>
      </c>
      <c r="F19" s="39" t="n">
        <v>0.9</v>
      </c>
      <c r="G19" s="39" t="n">
        <v>2.6</v>
      </c>
      <c r="H19" s="26" t="inlineStr">
        <is>
          <t>2024</t>
        </is>
      </c>
      <c r="I19" s="26" t="inlineStr">
        <is>
          <t>Ember (2024 data)</t>
        </is>
      </c>
      <c r="J19" s="26" t="inlineStr">
        <is>
          <t>Gas-dominated; major APAC data-center hub</t>
        </is>
      </c>
    </row>
    <row r="20">
      <c r="A20" s="26" t="inlineStr">
        <is>
          <t>Australia</t>
        </is>
      </c>
      <c r="B20" s="38" t="n">
        <v>549</v>
      </c>
      <c r="C20" s="38" t="n">
        <v>490</v>
      </c>
      <c r="D20" s="38" t="n">
        <v>610</v>
      </c>
      <c r="E20" s="39" t="n">
        <v>2.3</v>
      </c>
      <c r="F20" s="39" t="n">
        <v>1.2</v>
      </c>
      <c r="G20" s="39" t="n">
        <v>3.5</v>
      </c>
      <c r="H20" s="26" t="inlineStr">
        <is>
          <t>2024</t>
        </is>
      </c>
      <c r="I20" s="26" t="inlineStr">
        <is>
          <t>Ember (2024 data)</t>
        </is>
      </c>
      <c r="J20" s="26" t="inlineStr"/>
    </row>
    <row r="21">
      <c r="A21" s="26" t="inlineStr">
        <is>
          <t>United Arab Emirates</t>
        </is>
      </c>
      <c r="B21" s="38" t="n">
        <v>430</v>
      </c>
      <c r="C21" s="38" t="n">
        <v>380</v>
      </c>
      <c r="D21" s="38" t="n">
        <v>490</v>
      </c>
      <c r="E21" s="39" t="n">
        <v>1.5</v>
      </c>
      <c r="F21" s="39" t="n">
        <v>0.8</v>
      </c>
      <c r="G21" s="39" t="n">
        <v>2.3</v>
      </c>
      <c r="H21" s="26" t="inlineStr">
        <is>
          <t>2024</t>
        </is>
      </c>
      <c r="I21" s="26" t="inlineStr">
        <is>
          <t>Ember (2024 data)</t>
        </is>
      </c>
      <c r="J21" s="26" t="inlineStr">
        <is>
          <t>Gas + growing solar/nuclear</t>
        </is>
      </c>
    </row>
    <row r="23">
      <c r="A23" s="28" t="inlineStr">
        <is>
          <t>CI = location-based grid carbon intensity (annual average). EWIF = off-site electricity-water intensity factor. Source of truth: data/regions.csv.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70" customWidth="1" min="8" max="8"/>
    <col width="45" customWidth="1" min="9" max="9"/>
  </cols>
  <sheetData>
    <row r="1">
      <c r="A1" s="16" t="inlineStr">
        <is>
          <t>Facility profile</t>
        </is>
      </c>
      <c r="B1" s="16" t="inlineStr">
        <is>
          <t>PUE</t>
        </is>
      </c>
      <c r="C1" s="16" t="inlineStr">
        <is>
          <t>PUE low</t>
        </is>
      </c>
      <c r="D1" s="16" t="inlineStr">
        <is>
          <t>PUE high</t>
        </is>
      </c>
      <c r="E1" s="16" t="inlineStr">
        <is>
          <t>WUE (L/kWh)</t>
        </is>
      </c>
      <c r="F1" s="16" t="inlineStr">
        <is>
          <t>WUE low</t>
        </is>
      </c>
      <c r="G1" s="16" t="inlineStr">
        <is>
          <t>WUE high</t>
        </is>
      </c>
      <c r="H1" s="16" t="inlineStr">
        <is>
          <t>Source</t>
        </is>
      </c>
      <c r="I1" s="16" t="inlineStr">
        <is>
          <t>Notes</t>
        </is>
      </c>
    </row>
    <row r="2">
      <c r="A2" s="26" t="inlineStr">
        <is>
          <t>Hyperscale (best-in-class)</t>
        </is>
      </c>
      <c r="B2" s="40" t="n">
        <v>1.09</v>
      </c>
      <c r="C2" s="40" t="n">
        <v>1.06</v>
      </c>
      <c r="D2" s="40" t="n">
        <v>1.15</v>
      </c>
      <c r="E2" s="40" t="n">
        <v>0.25</v>
      </c>
      <c r="F2" s="40" t="n">
        <v>0.1</v>
      </c>
      <c r="G2" s="40" t="n">
        <v>0.5</v>
      </c>
      <c r="H2" s="26" t="inlineStr">
        <is>
          <t>Google fleet trailing-twelve-month PUE 1.09-1.10; Meta fleet PUE ~1.09 / WUE ~0.20; operator sustainability reports</t>
        </is>
      </c>
      <c r="I2" s="26" t="inlineStr">
        <is>
          <t>Leading dedicated AI fleets; air/advanced cooling</t>
        </is>
      </c>
    </row>
    <row r="3">
      <c r="A3" s="26" t="inlineStr">
        <is>
          <t>Hyperscale cloud (typical)</t>
        </is>
      </c>
      <c r="B3" s="40" t="n">
        <v>1.15</v>
      </c>
      <c r="C3" s="40" t="n">
        <v>1.1</v>
      </c>
      <c r="D3" s="40" t="n">
        <v>1.3</v>
      </c>
      <c r="E3" s="40" t="n">
        <v>1</v>
      </c>
      <c r="F3" s="40" t="n">
        <v>0.4</v>
      </c>
      <c r="G3" s="40" t="n">
        <v>1.8</v>
      </c>
      <c r="H3" s="26" t="inlineStr">
        <is>
          <t>Operator sustainability reports: Google fleet WUE ~1.0 L/kWh (2024); Microsoft design PUE 1.12 / WUE 0.49; AWS PUE ~1.15</t>
        </is>
      </c>
      <c r="I3" s="26" t="inlineStr">
        <is>
          <t>Most commercial API serving lands here</t>
        </is>
      </c>
    </row>
    <row r="4">
      <c r="A4" s="26" t="inlineStr">
        <is>
          <t>Colocation / enterprise (typical)</t>
        </is>
      </c>
      <c r="B4" s="40" t="n">
        <v>1.54</v>
      </c>
      <c r="C4" s="40" t="n">
        <v>1.35</v>
      </c>
      <c r="D4" s="40" t="n">
        <v>1.8</v>
      </c>
      <c r="E4" s="40" t="n">
        <v>1.8</v>
      </c>
      <c r="F4" s="40" t="n">
        <v>0.5</v>
      </c>
      <c r="G4" s="40" t="n">
        <v>2.5</v>
      </c>
      <c r="H4" s="26" t="inlineStr">
        <is>
          <t>Uptime Institute Global Data Center Survey 2025: industry average PUE 1.54 (stable six years)</t>
        </is>
      </c>
      <c r="I4" s="26" t="inlineStr">
        <is>
          <t>Typical rented rack / mid-size DC</t>
        </is>
      </c>
    </row>
    <row r="5">
      <c r="A5" s="26" t="inlineStr">
        <is>
          <t>On-premises (legacy)</t>
        </is>
      </c>
      <c r="B5" s="40" t="n">
        <v>1.8</v>
      </c>
      <c r="C5" s="40" t="n">
        <v>1.5</v>
      </c>
      <c r="D5" s="40" t="n">
        <v>2.5</v>
      </c>
      <c r="E5" s="40" t="n">
        <v>1.8</v>
      </c>
      <c r="F5" s="40" t="n">
        <v>0.5</v>
      </c>
      <c r="G5" s="40" t="n">
        <v>3</v>
      </c>
      <c r="H5" s="26" t="inlineStr">
        <is>
          <t>Uptime Institute survey distributions (older, smaller facilities)</t>
        </is>
      </c>
      <c r="I5" s="26" t="inlineStr">
        <is>
          <t>Small server rooms often exceed PUE 2.0</t>
        </is>
      </c>
    </row>
    <row r="6">
      <c r="A6" s="26" t="inlineStr">
        <is>
          <t>Unknown (API default)</t>
        </is>
      </c>
      <c r="B6" s="40" t="n">
        <v>1.2</v>
      </c>
      <c r="C6" s="40" t="n">
        <v>1.09</v>
      </c>
      <c r="D6" s="40" t="n">
        <v>1.54</v>
      </c>
      <c r="E6" s="40" t="n">
        <v>1</v>
      </c>
      <c r="F6" s="40" t="n">
        <v>0.2</v>
      </c>
      <c r="G6" s="40" t="n">
        <v>1.8</v>
      </c>
      <c r="H6" s="26" t="inlineStr">
        <is>
          <t>Weighted assumption: most commercial LLM serving runs in hyperscale facilities</t>
        </is>
      </c>
      <c r="I6" s="26" t="inlineStr">
        <is>
          <t>Default when the facility is unknown</t>
        </is>
      </c>
    </row>
    <row r="8">
      <c r="A8" s="28" t="inlineStr">
        <is>
          <t>PUE multiplies IT energy into total facility energy. WUE is on-site cooling water per kWh of IT energy. Source of truth: data/facilities.csv.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60" customWidth="1" min="10" max="10"/>
  </cols>
  <sheetData>
    <row r="1">
      <c r="A1" s="16" t="inlineStr">
        <is>
          <t>Task class</t>
        </is>
      </c>
      <c r="B1" s="16" t="inlineStr">
        <is>
          <t>Code</t>
        </is>
      </c>
      <c r="C1" s="16" t="inlineStr">
        <is>
          <t>Default tokens in</t>
        </is>
      </c>
      <c r="D1" s="16" t="inlineStr">
        <is>
          <t>Default tokens out</t>
        </is>
      </c>
      <c r="E1" s="16" t="inlineStr">
        <is>
          <t>A ≤ (Wh)</t>
        </is>
      </c>
      <c r="F1" s="16" t="inlineStr">
        <is>
          <t>B ≤ (Wh)</t>
        </is>
      </c>
      <c r="G1" s="16" t="inlineStr">
        <is>
          <t>C ≤ (Wh)</t>
        </is>
      </c>
      <c r="H1" s="16" t="inlineStr">
        <is>
          <t>D ≤ (Wh)</t>
        </is>
      </c>
      <c r="I1" s="16" t="inlineStr">
        <is>
          <t>E &gt; (Wh)</t>
        </is>
      </c>
      <c r="J1" s="16" t="inlineStr">
        <is>
          <t>Description</t>
        </is>
      </c>
    </row>
    <row r="2">
      <c r="A2" s="26" t="inlineStr">
        <is>
          <t>Light</t>
        </is>
      </c>
      <c r="B2" s="26" t="inlineStr">
        <is>
          <t>L</t>
        </is>
      </c>
      <c r="C2" s="41" t="n">
        <v>300</v>
      </c>
      <c r="D2" s="41" t="n">
        <v>80</v>
      </c>
      <c r="E2" s="42" t="n">
        <v>0.1</v>
      </c>
      <c r="F2" s="43" t="n">
        <v>0.3</v>
      </c>
      <c r="G2" s="44" t="n">
        <v>1</v>
      </c>
      <c r="H2" s="45" t="n">
        <v>3</v>
      </c>
      <c r="I2" s="46" t="n">
        <v>3</v>
      </c>
      <c r="J2" s="26" t="inlineStr">
        <is>
          <t>Classification, extraction, short chat, autocomplete</t>
        </is>
      </c>
    </row>
    <row r="3">
      <c r="A3" s="26" t="inlineStr">
        <is>
          <t>Standard</t>
        </is>
      </c>
      <c r="B3" s="26" t="inlineStr">
        <is>
          <t>S</t>
        </is>
      </c>
      <c r="C3" s="41" t="n">
        <v>500</v>
      </c>
      <c r="D3" s="41" t="n">
        <v>300</v>
      </c>
      <c r="E3" s="42" t="n">
        <v>0.3</v>
      </c>
      <c r="F3" s="43" t="n">
        <v>1</v>
      </c>
      <c r="G3" s="44" t="n">
        <v>3</v>
      </c>
      <c r="H3" s="45" t="n">
        <v>10</v>
      </c>
      <c r="I3" s="46" t="n">
        <v>10</v>
      </c>
      <c r="J3" s="26" t="inlineStr">
        <is>
          <t>General assistant use, summarization, translation</t>
        </is>
      </c>
    </row>
    <row r="4">
      <c r="A4" s="26" t="inlineStr">
        <is>
          <t>Heavy</t>
        </is>
      </c>
      <c r="B4" s="26" t="inlineStr">
        <is>
          <t>H</t>
        </is>
      </c>
      <c r="C4" s="41" t="n">
        <v>2000</v>
      </c>
      <c r="D4" s="41" t="n">
        <v>1000</v>
      </c>
      <c r="E4" s="42" t="n">
        <v>1</v>
      </c>
      <c r="F4" s="43" t="n">
        <v>3</v>
      </c>
      <c r="G4" s="44" t="n">
        <v>10</v>
      </c>
      <c r="H4" s="45" t="n">
        <v>30</v>
      </c>
      <c r="I4" s="46" t="n">
        <v>30</v>
      </c>
      <c r="J4" s="26" t="inlineStr">
        <is>
          <t>Long-form generation, RAG over large contexts, code generation</t>
        </is>
      </c>
    </row>
    <row r="5">
      <c r="A5" s="26" t="inlineStr">
        <is>
          <t>Reasoning/agentic</t>
        </is>
      </c>
      <c r="B5" s="26" t="inlineStr">
        <is>
          <t>R</t>
        </is>
      </c>
      <c r="C5" s="41" t="n">
        <v>2000</v>
      </c>
      <c r="D5" s="41" t="n">
        <v>4000</v>
      </c>
      <c r="E5" s="42" t="n">
        <v>3</v>
      </c>
      <c r="F5" s="43" t="n">
        <v>10</v>
      </c>
      <c r="G5" s="44" t="n">
        <v>30</v>
      </c>
      <c r="H5" s="45" t="n">
        <v>100</v>
      </c>
      <c r="I5" s="46" t="n">
        <v>100</v>
      </c>
      <c r="J5" s="26" t="inlineStr">
        <is>
          <t>Extended thinking, multi-step agents, deep research (incl. hidden reasoning tokens)</t>
        </is>
      </c>
    </row>
    <row r="7">
      <c r="A7" s="47" t="inlineStr">
        <is>
          <t>How the bands work (§5.2)</t>
        </is>
      </c>
    </row>
    <row r="8">
      <c r="A8" s="12" t="inlineStr">
        <is>
          <t>Grades are assigned on CENTRAL-estimate energy per request (full-stack Wh) against FIXED, LOGARITHMIC (~×3 spacing), TASK-CONDITIONED bands.</t>
        </is>
      </c>
    </row>
    <row r="9">
      <c r="A9" s="12" t="inlineStr">
        <is>
          <t>Fixed absolute bands — rather than percentile ranks — keep grades stable over time and auditable; the ~×3 spacing reflects the order-of-magnitude spreads observed in every benchmark study.</t>
        </is>
      </c>
    </row>
    <row r="10">
      <c r="A10" s="12" t="inlineStr">
        <is>
          <t>Anchors: provider-disclosed medians (0.24–0.34 Wh/request) anchor grade A/B for class S; reasoning models measured at &gt;30 Wh/request (Jegham et al.; AI Energy Score v2: reasoning ≈ 30× standard) anchor grade E.</t>
        </is>
      </c>
    </row>
    <row r="11">
      <c r="A11" s="12" t="inlineStr">
        <is>
          <t>Requests are graded WITHIN their task class — comparing a reasoning-agent workload to an autocomplete query is meaningless.</t>
        </is>
      </c>
    </row>
    <row r="12">
      <c r="A12" s="12" t="inlineStr">
        <is>
          <t>Carbon and water are REPORTED, not graded: they are dominated by region and facility (P3), which model choice cannot fix.</t>
        </is>
      </c>
    </row>
    <row r="13">
      <c r="A13" s="12" t="inlineStr">
        <is>
          <t>Source of truth: data/grading.csv.</t>
        </is>
      </c>
    </row>
  </sheetData>
  <mergeCells count="6">
    <mergeCell ref="A8:J8"/>
    <mergeCell ref="A9:J9"/>
    <mergeCell ref="A12:J12"/>
    <mergeCell ref="A10:J10"/>
    <mergeCell ref="A13:J13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4" customWidth="1" min="3" max="3"/>
    <col width="60" customWidth="1" min="4" max="4"/>
    <col width="55" customWidth="1" min="5" max="5"/>
  </cols>
  <sheetData>
    <row r="1">
      <c r="A1" s="16" t="inlineStr">
        <is>
          <t>Rank</t>
        </is>
      </c>
      <c r="B1" s="16" t="inlineStr">
        <is>
          <t>Lever</t>
        </is>
      </c>
      <c r="C1" s="16" t="inlineStr">
        <is>
          <t>Who controls it</t>
        </is>
      </c>
      <c r="D1" s="16" t="inlineStr">
        <is>
          <t>Measured effect</t>
        </is>
      </c>
      <c r="E1" s="16" t="inlineStr">
        <is>
          <t>Evidence</t>
        </is>
      </c>
    </row>
    <row r="2">
      <c r="A2" s="41" t="n">
        <v>1</v>
      </c>
      <c r="B2" s="26" t="inlineStr">
        <is>
          <t>Right-size the model (route each task to the smallest adequate model)</t>
        </is>
      </c>
      <c r="C2" s="26" t="inlineStr">
        <is>
          <t>User</t>
        </is>
      </c>
      <c r="D2" s="26" t="inlineStr">
        <is>
          <t>10-70x energy difference between frontier-reasoning and small efficient models on identical prompts</t>
        </is>
      </c>
      <c r="E2" s="26" t="inlineStr">
        <is>
          <t>Jegham et al. arXiv:2505.09598 (o3 vs GPT-4.1 nano &gt;70x); AI Energy Score leaderboard spreads</t>
        </is>
      </c>
    </row>
    <row r="3">
      <c r="A3" s="41" t="n">
        <v>2</v>
      </c>
      <c r="B3" s="26" t="inlineStr">
        <is>
          <t>Cap reasoning/thinking budgets on bounded tasks</t>
        </is>
      </c>
      <c r="C3" s="26" t="inlineStr">
        <is>
          <t>User</t>
        </is>
      </c>
      <c r="D3" s="26" t="inlineStr">
        <is>
          <t>Reasoning modes average ~30x the energy of standard generation; explicit budgets recover most of it</t>
        </is>
      </c>
      <c r="E3" s="26" t="inlineStr">
        <is>
          <t>AI Energy Score v2 (Dec 2025)</t>
        </is>
      </c>
    </row>
    <row r="4">
      <c r="A4" s="41" t="n">
        <v>3</v>
      </c>
      <c r="B4" s="26" t="inlineStr">
        <is>
          <t>Choose low-carbon hosting regions</t>
        </is>
      </c>
      <c r="C4" s="26" t="inlineStr">
        <is>
          <t>User/Provider</t>
        </is>
      </c>
      <c r="D4" s="26" t="inlineStr">
        <is>
          <t>Grid carbon intensity spans ~20x (30-40 gCO2e/kWh hydro/nuclear grids vs 600-750 coal-heavy)</t>
        </is>
      </c>
      <c r="E4" s="26" t="inlineStr">
        <is>
          <t>Ember Global Electricity Review (2024 data)</t>
        </is>
      </c>
    </row>
    <row r="5">
      <c r="A5" s="41" t="n">
        <v>4</v>
      </c>
      <c r="B5" s="26" t="inlineStr">
        <is>
          <t>Bound output length; prompt and token discipline</t>
        </is>
      </c>
      <c r="C5" s="26" t="inlineStr">
        <is>
          <t>User</t>
        </is>
      </c>
      <c r="D5" s="26" t="inlineStr">
        <is>
          <t>Per-request energy is approximately linear in output tokens; halving median output roughly halves energy</t>
        </is>
      </c>
      <c r="E5" s="26" t="inlineStr">
        <is>
          <t>Physics of autoregressive decoding; Luccioni et al. FAccT 2024</t>
        </is>
      </c>
    </row>
    <row r="6">
      <c r="A6" s="41" t="n">
        <v>5</v>
      </c>
      <c r="B6" s="26" t="inlineStr">
        <is>
          <t>Cache repeated context and responses</t>
        </is>
      </c>
      <c r="C6" s="26" t="inlineStr">
        <is>
          <t>User</t>
        </is>
      </c>
      <c r="D6" s="26" t="inlineStr">
        <is>
          <t>Eliminates recomputation of repeated prefixes; effect equals your cache hit rate</t>
        </is>
      </c>
      <c r="E6" s="26" t="inlineStr">
        <is>
          <t>Provider prompt-caching documentation</t>
        </is>
      </c>
    </row>
    <row r="7">
      <c r="A7" s="41" t="n">
        <v>6</v>
      </c>
      <c r="B7" s="26" t="inlineStr">
        <is>
          <t>Batch requests / schedule flexible jobs off-peak</t>
        </is>
      </c>
      <c r="C7" s="26" t="inlineStr">
        <is>
          <t>User</t>
        </is>
      </c>
      <c r="D7" s="26" t="inlineStr">
        <is>
          <t>Improves serving utilization; single-digit to low-double-digit % energy; larger carbon effect via diurnal grid variation</t>
        </is>
      </c>
      <c r="E7" s="26" t="inlineStr">
        <is>
          <t>Serving-systems literature; grid CI diurnal data</t>
        </is>
      </c>
    </row>
    <row r="8">
      <c r="A8" s="41" t="n">
        <v>7</v>
      </c>
      <c r="B8" s="26" t="inlineStr">
        <is>
          <t>Prefer providers that disclose measured footprints</t>
        </is>
      </c>
      <c r="C8" s="26" t="inlineStr">
        <is>
          <t>User</t>
        </is>
      </c>
      <c r="D8" s="26" t="inlineStr">
        <is>
          <t>Converts Tier-3/4 guesses into Tier-2 data (halves uncertainty); creates market pressure for transparency</t>
        </is>
      </c>
      <c r="E8" s="26" t="inlineStr">
        <is>
          <t>GAIA principle P1; Google arXiv:2508.15734; Mistral LCA 2025</t>
        </is>
      </c>
    </row>
    <row r="9">
      <c r="A9" s="41" t="n">
        <v>8</v>
      </c>
      <c r="B9" s="26" t="inlineStr">
        <is>
          <t>Adopt newer accelerator generations</t>
        </is>
      </c>
      <c r="C9" s="26" t="inlineStr">
        <is>
          <t>Provider</t>
        </is>
      </c>
      <c r="D9" s="26" t="inlineStr">
        <is>
          <t>~24% lower embodied carbon per FLOP (B200 vs H100); higher FLOPs/J in serving</t>
        </is>
      </c>
      <c r="E9" s="26" t="inlineStr">
        <is>
          <t>NVIDIA HGX embodied-carbon disclosures</t>
        </is>
      </c>
    </row>
    <row r="11">
      <c r="B11" s="12" t="inlineStr">
        <is>
          <t>Evidence-ranked levers: every effect size is a measured number with a citation — 'up to' marketing numbers are banned (§6). Provider-side levers (PUE, clean-power procurement, WUE) belong in vendor management as disclosure asks, not user actions. Source of truth: data/mitigation.csv.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2" customWidth="1" min="4" max="4"/>
    <col width="12" customWidth="1" min="5" max="5"/>
    <col width="14" customWidth="1" min="6" max="6"/>
    <col width="13" customWidth="1" min="7" max="7"/>
    <col width="12" customWidth="1" min="8" max="8"/>
    <col width="14" customWidth="1" min="9" max="9"/>
    <col width="12" customWidth="1" min="10" max="10"/>
  </cols>
  <sheetData>
    <row r="1">
      <c r="A1" s="7" t="inlineStr">
        <is>
          <t>Usage Log — monthly tracking template</t>
        </is>
      </c>
    </row>
    <row r="2">
      <c r="A2" s="2" t="inlineStr">
        <is>
          <t>Enter Month, Model, Queries and average tokens; kWh / kg / L are computed with the same §4 engine math, using the CURRENT Assessment facility and region selections (PUE, WUE, CI, EWIF from the Engine sheet). Central estimates only.</t>
        </is>
      </c>
    </row>
    <row r="3">
      <c r="A3" s="16" t="inlineStr">
        <is>
          <t>Month</t>
        </is>
      </c>
      <c r="B3" s="16" t="inlineStr">
        <is>
          <t>Model</t>
        </is>
      </c>
      <c r="C3" s="16" t="inlineStr">
        <is>
          <t>Queries</t>
        </is>
      </c>
      <c r="D3" s="16" t="inlineStr">
        <is>
          <t>Tokens in avg</t>
        </is>
      </c>
      <c r="E3" s="16" t="inlineStr">
        <is>
          <t>Tokens out avg</t>
        </is>
      </c>
      <c r="F3" s="16" t="inlineStr">
        <is>
          <t>e_out (Wh/1k out)</t>
        </is>
      </c>
      <c r="G3" s="16" t="inlineStr">
        <is>
          <t>Wh / request</t>
        </is>
      </c>
      <c r="H3" s="16" t="inlineStr">
        <is>
          <t>Energy (kWh)</t>
        </is>
      </c>
      <c r="I3" s="16" t="inlineStr">
        <is>
          <t>Carbon loc. (kg CO2e)</t>
        </is>
      </c>
      <c r="J3" s="16" t="inlineStr">
        <is>
          <t>Water (L)</t>
        </is>
      </c>
    </row>
    <row r="4">
      <c r="A4" s="48" t="inlineStr">
        <is>
          <t>EXAMPLE — overwrite</t>
        </is>
      </c>
      <c r="B4" s="48" t="inlineStr">
        <is>
          <t>GPT-4o</t>
        </is>
      </c>
      <c r="C4" s="49" t="n">
        <v>1000</v>
      </c>
      <c r="D4" s="49" t="n">
        <v>500</v>
      </c>
      <c r="E4" s="49" t="n">
        <v>300</v>
      </c>
      <c r="F4" s="17">
        <f>IF($B4="","",IFERROR(INDEX('Model Database'!$E$2:$E$27,MATCH($B4,'Model Database'!$A$2:$A$27,0)),""))</f>
        <v/>
      </c>
      <c r="G4" s="17">
        <f>IF(OR($F4="",$D4="",$E4=""),"",$F4*($E4+$D4/10)/1000*Engine!$B$25)</f>
        <v/>
      </c>
      <c r="H4" s="19">
        <f>IF(OR($G4="",$C4=""),"",$G4*$C4/1000)</f>
        <v/>
      </c>
      <c r="I4" s="19">
        <f>IF($H4="","",$H4*Engine!$B$27/1000)</f>
        <v/>
      </c>
      <c r="J4" s="20">
        <f>IF(OR($H4="",$C4=""),"",($F4*($E4+$D4/10)/1000*$C4/1000)*Engine!$B$26+$H4*Engine!$B$28)</f>
        <v/>
      </c>
    </row>
    <row r="5">
      <c r="A5" s="50" t="n"/>
      <c r="B5" s="50" t="n"/>
      <c r="C5" s="11" t="n"/>
      <c r="D5" s="11" t="n"/>
      <c r="E5" s="11" t="n"/>
      <c r="F5" s="17">
        <f>IF($B5="","",IFERROR(INDEX('Model Database'!$E$2:$E$27,MATCH($B5,'Model Database'!$A$2:$A$27,0)),""))</f>
        <v/>
      </c>
      <c r="G5" s="17">
        <f>IF(OR($F5="",$D5="",$E5=""),"",$F5*($E5+$D5/10)/1000*Engine!$B$25)</f>
        <v/>
      </c>
      <c r="H5" s="19">
        <f>IF(OR($G5="",$C5=""),"",$G5*$C5/1000)</f>
        <v/>
      </c>
      <c r="I5" s="19">
        <f>IF($H5="","",$H5*Engine!$B$27/1000)</f>
        <v/>
      </c>
      <c r="J5" s="20">
        <f>IF(OR($H5="",$C5=""),"",($F5*($E5+$D5/10)/1000*$C5/1000)*Engine!$B$26+$H5*Engine!$B$28)</f>
        <v/>
      </c>
    </row>
    <row r="6">
      <c r="A6" s="50" t="n"/>
      <c r="B6" s="50" t="n"/>
      <c r="C6" s="11" t="n"/>
      <c r="D6" s="11" t="n"/>
      <c r="E6" s="11" t="n"/>
      <c r="F6" s="17">
        <f>IF($B6="","",IFERROR(INDEX('Model Database'!$E$2:$E$27,MATCH($B6,'Model Database'!$A$2:$A$27,0)),""))</f>
        <v/>
      </c>
      <c r="G6" s="17">
        <f>IF(OR($F6="",$D6="",$E6=""),"",$F6*($E6+$D6/10)/1000*Engine!$B$25)</f>
        <v/>
      </c>
      <c r="H6" s="19">
        <f>IF(OR($G6="",$C6=""),"",$G6*$C6/1000)</f>
        <v/>
      </c>
      <c r="I6" s="19">
        <f>IF($H6="","",$H6*Engine!$B$27/1000)</f>
        <v/>
      </c>
      <c r="J6" s="20">
        <f>IF(OR($H6="",$C6=""),"",($F6*($E6+$D6/10)/1000*$C6/1000)*Engine!$B$26+$H6*Engine!$B$28)</f>
        <v/>
      </c>
    </row>
    <row r="7">
      <c r="A7" s="50" t="n"/>
      <c r="B7" s="50" t="n"/>
      <c r="C7" s="11" t="n"/>
      <c r="D7" s="11" t="n"/>
      <c r="E7" s="11" t="n"/>
      <c r="F7" s="17">
        <f>IF($B7="","",IFERROR(INDEX('Model Database'!$E$2:$E$27,MATCH($B7,'Model Database'!$A$2:$A$27,0)),""))</f>
        <v/>
      </c>
      <c r="G7" s="17">
        <f>IF(OR($F7="",$D7="",$E7=""),"",$F7*($E7+$D7/10)/1000*Engine!$B$25)</f>
        <v/>
      </c>
      <c r="H7" s="19">
        <f>IF(OR($G7="",$C7=""),"",$G7*$C7/1000)</f>
        <v/>
      </c>
      <c r="I7" s="19">
        <f>IF($H7="","",$H7*Engine!$B$27/1000)</f>
        <v/>
      </c>
      <c r="J7" s="20">
        <f>IF(OR($H7="",$C7=""),"",($F7*($E7+$D7/10)/1000*$C7/1000)*Engine!$B$26+$H7*Engine!$B$28)</f>
        <v/>
      </c>
    </row>
    <row r="8">
      <c r="A8" s="50" t="n"/>
      <c r="B8" s="50" t="n"/>
      <c r="C8" s="11" t="n"/>
      <c r="D8" s="11" t="n"/>
      <c r="E8" s="11" t="n"/>
      <c r="F8" s="17">
        <f>IF($B8="","",IFERROR(INDEX('Model Database'!$E$2:$E$27,MATCH($B8,'Model Database'!$A$2:$A$27,0)),""))</f>
        <v/>
      </c>
      <c r="G8" s="17">
        <f>IF(OR($F8="",$D8="",$E8=""),"",$F8*($E8+$D8/10)/1000*Engine!$B$25)</f>
        <v/>
      </c>
      <c r="H8" s="19">
        <f>IF(OR($G8="",$C8=""),"",$G8*$C8/1000)</f>
        <v/>
      </c>
      <c r="I8" s="19">
        <f>IF($H8="","",$H8*Engine!$B$27/1000)</f>
        <v/>
      </c>
      <c r="J8" s="20">
        <f>IF(OR($H8="",$C8=""),"",($F8*($E8+$D8/10)/1000*$C8/1000)*Engine!$B$26+$H8*Engine!$B$28)</f>
        <v/>
      </c>
    </row>
    <row r="9">
      <c r="A9" s="50" t="n"/>
      <c r="B9" s="50" t="n"/>
      <c r="C9" s="11" t="n"/>
      <c r="D9" s="11" t="n"/>
      <c r="E9" s="11" t="n"/>
      <c r="F9" s="17">
        <f>IF($B9="","",IFERROR(INDEX('Model Database'!$E$2:$E$27,MATCH($B9,'Model Database'!$A$2:$A$27,0)),""))</f>
        <v/>
      </c>
      <c r="G9" s="17">
        <f>IF(OR($F9="",$D9="",$E9=""),"",$F9*($E9+$D9/10)/1000*Engine!$B$25)</f>
        <v/>
      </c>
      <c r="H9" s="19">
        <f>IF(OR($G9="",$C9=""),"",$G9*$C9/1000)</f>
        <v/>
      </c>
      <c r="I9" s="19">
        <f>IF($H9="","",$H9*Engine!$B$27/1000)</f>
        <v/>
      </c>
      <c r="J9" s="20">
        <f>IF(OR($H9="",$C9=""),"",($F9*($E9+$D9/10)/1000*$C9/1000)*Engine!$B$26+$H9*Engine!$B$28)</f>
        <v/>
      </c>
    </row>
    <row r="10">
      <c r="A10" s="50" t="n"/>
      <c r="B10" s="50" t="n"/>
      <c r="C10" s="11" t="n"/>
      <c r="D10" s="11" t="n"/>
      <c r="E10" s="11" t="n"/>
      <c r="F10" s="17">
        <f>IF($B10="","",IFERROR(INDEX('Model Database'!$E$2:$E$27,MATCH($B10,'Model Database'!$A$2:$A$27,0)),""))</f>
        <v/>
      </c>
      <c r="G10" s="17">
        <f>IF(OR($F10="",$D10="",$E10=""),"",$F10*($E10+$D10/10)/1000*Engine!$B$25)</f>
        <v/>
      </c>
      <c r="H10" s="19">
        <f>IF(OR($G10="",$C10=""),"",$G10*$C10/1000)</f>
        <v/>
      </c>
      <c r="I10" s="19">
        <f>IF($H10="","",$H10*Engine!$B$27/1000)</f>
        <v/>
      </c>
      <c r="J10" s="20">
        <f>IF(OR($H10="",$C10=""),"",($F10*($E10+$D10/10)/1000*$C10/1000)*Engine!$B$26+$H10*Engine!$B$28)</f>
        <v/>
      </c>
    </row>
    <row r="11">
      <c r="A11" s="50" t="n"/>
      <c r="B11" s="50" t="n"/>
      <c r="C11" s="11" t="n"/>
      <c r="D11" s="11" t="n"/>
      <c r="E11" s="11" t="n"/>
      <c r="F11" s="17">
        <f>IF($B11="","",IFERROR(INDEX('Model Database'!$E$2:$E$27,MATCH($B11,'Model Database'!$A$2:$A$27,0)),""))</f>
        <v/>
      </c>
      <c r="G11" s="17">
        <f>IF(OR($F11="",$D11="",$E11=""),"",$F11*($E11+$D11/10)/1000*Engine!$B$25)</f>
        <v/>
      </c>
      <c r="H11" s="19">
        <f>IF(OR($G11="",$C11=""),"",$G11*$C11/1000)</f>
        <v/>
      </c>
      <c r="I11" s="19">
        <f>IF($H11="","",$H11*Engine!$B$27/1000)</f>
        <v/>
      </c>
      <c r="J11" s="20">
        <f>IF(OR($H11="",$C11=""),"",($F11*($E11+$D11/10)/1000*$C11/1000)*Engine!$B$26+$H11*Engine!$B$28)</f>
        <v/>
      </c>
    </row>
    <row r="12">
      <c r="A12" s="50" t="n"/>
      <c r="B12" s="50" t="n"/>
      <c r="C12" s="11" t="n"/>
      <c r="D12" s="11" t="n"/>
      <c r="E12" s="11" t="n"/>
      <c r="F12" s="17">
        <f>IF($B12="","",IFERROR(INDEX('Model Database'!$E$2:$E$27,MATCH($B12,'Model Database'!$A$2:$A$27,0)),""))</f>
        <v/>
      </c>
      <c r="G12" s="17">
        <f>IF(OR($F12="",$D12="",$E12=""),"",$F12*($E12+$D12/10)/1000*Engine!$B$25)</f>
        <v/>
      </c>
      <c r="H12" s="19">
        <f>IF(OR($G12="",$C12=""),"",$G12*$C12/1000)</f>
        <v/>
      </c>
      <c r="I12" s="19">
        <f>IF($H12="","",$H12*Engine!$B$27/1000)</f>
        <v/>
      </c>
      <c r="J12" s="20">
        <f>IF(OR($H12="",$C12=""),"",($F12*($E12+$D12/10)/1000*$C12/1000)*Engine!$B$26+$H12*Engine!$B$28)</f>
        <v/>
      </c>
    </row>
    <row r="13">
      <c r="A13" s="50" t="n"/>
      <c r="B13" s="50" t="n"/>
      <c r="C13" s="11" t="n"/>
      <c r="D13" s="11" t="n"/>
      <c r="E13" s="11" t="n"/>
      <c r="F13" s="17">
        <f>IF($B13="","",IFERROR(INDEX('Model Database'!$E$2:$E$27,MATCH($B13,'Model Database'!$A$2:$A$27,0)),""))</f>
        <v/>
      </c>
      <c r="G13" s="17">
        <f>IF(OR($F13="",$D13="",$E13=""),"",$F13*($E13+$D13/10)/1000*Engine!$B$25)</f>
        <v/>
      </c>
      <c r="H13" s="19">
        <f>IF(OR($G13="",$C13=""),"",$G13*$C13/1000)</f>
        <v/>
      </c>
      <c r="I13" s="19">
        <f>IF($H13="","",$H13*Engine!$B$27/1000)</f>
        <v/>
      </c>
      <c r="J13" s="20">
        <f>IF(OR($H13="",$C13=""),"",($F13*($E13+$D13/10)/1000*$C13/1000)*Engine!$B$26+$H13*Engine!$B$28)</f>
        <v/>
      </c>
    </row>
    <row r="14">
      <c r="A14" s="50" t="n"/>
      <c r="B14" s="50" t="n"/>
      <c r="C14" s="11" t="n"/>
      <c r="D14" s="11" t="n"/>
      <c r="E14" s="11" t="n"/>
      <c r="F14" s="17">
        <f>IF($B14="","",IFERROR(INDEX('Model Database'!$E$2:$E$27,MATCH($B14,'Model Database'!$A$2:$A$27,0)),""))</f>
        <v/>
      </c>
      <c r="G14" s="17">
        <f>IF(OR($F14="",$D14="",$E14=""),"",$F14*($E14+$D14/10)/1000*Engine!$B$25)</f>
        <v/>
      </c>
      <c r="H14" s="19">
        <f>IF(OR($G14="",$C14=""),"",$G14*$C14/1000)</f>
        <v/>
      </c>
      <c r="I14" s="19">
        <f>IF($H14="","",$H14*Engine!$B$27/1000)</f>
        <v/>
      </c>
      <c r="J14" s="20">
        <f>IF(OR($H14="",$C14=""),"",($F14*($E14+$D14/10)/1000*$C14/1000)*Engine!$B$26+$H14*Engine!$B$28)</f>
        <v/>
      </c>
    </row>
    <row r="15">
      <c r="A15" s="50" t="n"/>
      <c r="B15" s="50" t="n"/>
      <c r="C15" s="11" t="n"/>
      <c r="D15" s="11" t="n"/>
      <c r="E15" s="11" t="n"/>
      <c r="F15" s="17">
        <f>IF($B15="","",IFERROR(INDEX('Model Database'!$E$2:$E$27,MATCH($B15,'Model Database'!$A$2:$A$27,0)),""))</f>
        <v/>
      </c>
      <c r="G15" s="17">
        <f>IF(OR($F15="",$D15="",$E15=""),"",$F15*($E15+$D15/10)/1000*Engine!$B$25)</f>
        <v/>
      </c>
      <c r="H15" s="19">
        <f>IF(OR($G15="",$C15=""),"",$G15*$C15/1000)</f>
        <v/>
      </c>
      <c r="I15" s="19">
        <f>IF($H15="","",$H15*Engine!$B$27/1000)</f>
        <v/>
      </c>
      <c r="J15" s="20">
        <f>IF(OR($H15="",$C15=""),"",($F15*($E15+$D15/10)/1000*$C15/1000)*Engine!$B$26+$H15*Engine!$B$28)</f>
        <v/>
      </c>
    </row>
    <row r="16">
      <c r="A16" s="50" t="n"/>
      <c r="B16" s="50" t="n"/>
      <c r="C16" s="11" t="n"/>
      <c r="D16" s="11" t="n"/>
      <c r="E16" s="11" t="n"/>
      <c r="F16" s="17">
        <f>IF($B16="","",IFERROR(INDEX('Model Database'!$E$2:$E$27,MATCH($B16,'Model Database'!$A$2:$A$27,0)),""))</f>
        <v/>
      </c>
      <c r="G16" s="17">
        <f>IF(OR($F16="",$D16="",$E16=""),"",$F16*($E16+$D16/10)/1000*Engine!$B$25)</f>
        <v/>
      </c>
      <c r="H16" s="19">
        <f>IF(OR($G16="",$C16=""),"",$G16*$C16/1000)</f>
        <v/>
      </c>
      <c r="I16" s="19">
        <f>IF($H16="","",$H16*Engine!$B$27/1000)</f>
        <v/>
      </c>
      <c r="J16" s="20">
        <f>IF(OR($H16="",$C16=""),"",($F16*($E16+$D16/10)/1000*$C16/1000)*Engine!$B$26+$H16*Engine!$B$28)</f>
        <v/>
      </c>
    </row>
    <row r="17">
      <c r="A17" s="51" t="inlineStr">
        <is>
          <t>TOTAL (12 template rows; example row excluded)</t>
        </is>
      </c>
      <c r="H17" s="52">
        <f>SUM(H5:H16)</f>
        <v/>
      </c>
      <c r="I17" s="52">
        <f>SUM(I5:I16)</f>
        <v/>
      </c>
      <c r="J17" s="53">
        <f>SUM(J5:J16)</f>
        <v/>
      </c>
    </row>
  </sheetData>
  <dataValidations count="1">
    <dataValidation sqref="B4:B16" showDropDown="0" showInputMessage="0" showErrorMessage="0" allowBlank="1" type="list">
      <formula1>='Model Database'!$A$2:$A$27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E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7" t="inlineStr">
        <is>
          <t>Methodology &amp; Sources</t>
        </is>
      </c>
    </row>
    <row r="2">
      <c r="B2" s="2" t="inlineStr">
        <is>
          <t>The §4 equations as implemented in this workbook, the data-quality tier ladder, the system boundary, limitations, and the full source list. Authoritative text: FRAMEWORK.md.</t>
        </is>
      </c>
    </row>
    <row r="4">
      <c r="B4" s="4" t="inlineStr">
        <is>
          <t>Equations (FRAMEWORK.md §4) — exactly as computed on the Engine sheet</t>
        </is>
      </c>
    </row>
    <row r="5">
      <c r="B5" s="54" t="inlineStr">
        <is>
          <t>E_IT_request [Wh]  =  e_out × (T_out + T_in/10) / 1000</t>
        </is>
      </c>
    </row>
    <row r="6">
      <c r="B6" s="54" t="inlineStr">
        <is>
          <t xml:space="preserve">    e_out = model energy per 1000 output tokens at the IT boundary (accelerator + host + idle; the serving-stack multiplier S ≈ 1.7 is ALREADY INCLUDED in the Model Database values). Input tokens cost ≈ 1/10 of output tokens (k = 10, §4.1).</t>
        </is>
      </c>
    </row>
    <row r="7">
      <c r="B7" s="54" t="inlineStr">
        <is>
          <t>E_request [Wh]     =  E_IT_request × PUE            (facility overhead, §4.1)</t>
        </is>
      </c>
    </row>
    <row r="8">
      <c r="B8" s="54" t="inlineStr">
        <is>
          <t>E_month [kWh]      =  E_request × Q_month / 1000                     (§4.2)</t>
        </is>
      </c>
    </row>
    <row r="9">
      <c r="B9" s="54" t="inlineStr">
        <is>
          <t>C_op(location)     =  E_month × CI_location / 1000       [kg CO2e]   (§4.3)</t>
        </is>
      </c>
    </row>
    <row r="10">
      <c r="B10" s="54" t="inlineStr">
        <is>
          <t>C_op(market)       =  E_month × CI_market / 1000 — only when a market CI is supplied; otherwise 'not provided'. Never blended (P6).</t>
        </is>
      </c>
    </row>
    <row r="11">
      <c r="B11" s="54" t="inlineStr">
        <is>
          <t>C_embodied         =  C_op(location) × embodied_adder   (default 0.25, range 0.10–0.50, §4.6)</t>
        </is>
      </c>
    </row>
    <row r="12">
      <c r="B12" s="54" t="inlineStr">
        <is>
          <t>W_month [L]        =  E_IT_month × WUE_site  +  E_month × EWIF_region   (two-path water, §4.4)</t>
        </is>
      </c>
    </row>
    <row r="13">
      <c r="B13" s="54" t="inlineStr">
        <is>
          <t>Bounds: low = central × (wh_low/e_out); high = central × (wh_high/e_out). The interval is energy-dominated; uncertainty in PUE, CI, WUE, EWIF adds beyond the shown bounds (documented, P2).</t>
        </is>
      </c>
    </row>
    <row r="15">
      <c r="B15" s="4" t="inlineStr">
        <is>
          <t>Data-quality tiers (§4.5) — the provenance ladder</t>
        </is>
      </c>
    </row>
    <row r="16">
      <c r="B16" s="55" t="inlineStr">
        <is>
          <t>Tier</t>
        </is>
      </c>
      <c r="C16" s="55" t="inlineStr">
        <is>
          <t>Basis</t>
        </is>
      </c>
      <c r="D16" s="55" t="inlineStr">
        <is>
          <t>Uncertainty band (central ×/÷)</t>
        </is>
      </c>
      <c r="E16" s="55" t="inlineStr">
        <is>
          <t>Example</t>
        </is>
      </c>
    </row>
    <row r="17">
      <c r="B17" s="56" t="inlineStr">
        <is>
          <t>T1 Measured</t>
        </is>
      </c>
      <c r="C17" s="26" t="inlineStr">
        <is>
          <t>Direct metering of your deployment (CodeCarbon, nvidia-smi + host power)</t>
        </is>
      </c>
      <c r="D17" s="26" t="inlineStr">
        <is>
          <t>1.15</t>
        </is>
      </c>
      <c r="E17" s="26" t="inlineStr">
        <is>
          <t>Self-hosted Llama with power logging</t>
        </is>
      </c>
    </row>
    <row r="18">
      <c r="B18" s="57" t="inlineStr">
        <is>
          <t>T2 Disclosed</t>
        </is>
      </c>
      <c r="C18" s="26" t="inlineStr">
        <is>
          <t>Provider-published full-stack measurement with stated boundary</t>
        </is>
      </c>
      <c r="D18" s="26" t="inlineStr">
        <is>
          <t>1.5</t>
        </is>
      </c>
      <c r="E18" s="26" t="inlineStr">
        <is>
          <t>Google Gemini 0.24 Wh/median prompt; Mistral Large 2 LCA</t>
        </is>
      </c>
    </row>
    <row r="19">
      <c r="B19" s="58" t="inlineStr">
        <is>
          <t>T3 Benchmarked</t>
        </is>
      </c>
      <c r="C19" s="26" t="inlineStr">
        <is>
          <t>Independent standardized benchmark (GPU-only, needs S)</t>
        </is>
      </c>
      <c r="D19" s="26" t="inlineStr">
        <is>
          <t>2</t>
        </is>
      </c>
      <c r="E19" s="26" t="inlineStr">
        <is>
          <t>AI Energy Score; Jegham et al. API benchmarks</t>
        </is>
      </c>
    </row>
    <row r="20">
      <c r="B20" s="59" t="inlineStr">
        <is>
          <t>T4 Modeled</t>
        </is>
      </c>
      <c r="C20" s="26" t="inlineStr">
        <is>
          <t>Parameter-count physics model (FLOPs → J via hardware efficiency)</t>
        </is>
      </c>
      <c r="D20" s="26" t="inlineStr">
        <is>
          <t>3</t>
        </is>
      </c>
      <c r="E20" s="26" t="inlineStr">
        <is>
          <t>EcoLogits-style estimate for an undisclosed model</t>
        </is>
      </c>
    </row>
    <row r="21">
      <c r="B21" s="3" t="inlineStr">
        <is>
          <t>The tier band is the default MINIMUM width: low = central ÷ band, high = central × band; a model row may carry wider bounds where sources disagree (documented in its basis column) — the stored wh_low/wh_high are authoritative. Downstream results scale by the energy bounds (energy-dominated); factor uncertainty (CI, PUE, WUE, EWIF) adds beyond the displayed band and is disclosed in the factor sheets.</t>
        </is>
      </c>
    </row>
    <row r="23">
      <c r="B23" s="4" t="inlineStr">
        <is>
          <t>System boundary (§2)</t>
        </is>
      </c>
    </row>
    <row r="24">
      <c r="B24" s="3" t="inlineStr">
        <is>
          <t>In scope: accelerator energy for inference; host CPU/DRAM/storage/idle (serving-stack multiplier); data-center overhead (PUE); grid carbon (location- and market-based CI); on-site cooling water + off-site electricity-generation water; embodied emissions of serving hardware (amortized adder); amortized training footprint (optional, OFF by default — it belongs to the provider's inventory under GHG Protocol logic).</t>
        </is>
      </c>
    </row>
    <row r="25">
      <c r="B25" s="3" t="inlineStr">
        <is>
          <t>Out of scope (documented per ISO 14044 cut-off rules): end-user devices, network transmission (typically &lt;5% of a generative-AI request's footprint), data-center construction, end-of-life — a truncation that understates the true total by an estimated 5–15%.</t>
        </is>
      </c>
    </row>
    <row r="27">
      <c r="B27" s="4" t="inlineStr">
        <is>
          <t>Known limitations (§10, stated per P2)</t>
        </is>
      </c>
    </row>
    <row r="28">
      <c r="B28" s="3" t="inlineStr">
        <is>
          <t>•  Closed providers do not disclose per-model serving data; most model rows are T3/T4 with wide bounds. GAIA makes the opacity itself visible — that is the point of the tier column.</t>
        </is>
      </c>
    </row>
    <row r="29">
      <c r="B29" s="3" t="inlineStr">
        <is>
          <t>•  Benchmarks measure specific hardware/serving configurations; production fleets differ (batching, quantization, speculative decoding can shift per-token energy several-fold in either direction).</t>
        </is>
      </c>
    </row>
    <row r="30">
      <c r="B30" s="3" t="inlineStr">
        <is>
          <t>•  Annual-average grid CI ignores hourly variation; marginal-emissions accounting is out of scope for v2.0.</t>
        </is>
      </c>
    </row>
    <row r="31">
      <c r="B31" s="3" t="inlineStr">
        <is>
          <t>•  Water data is the weakest link: EWIF varies by basin and season, and water STRESS context matters as much as volume. GAIA reports volume and flags stress-region hosting qualitatively.</t>
        </is>
      </c>
    </row>
    <row r="32">
      <c r="B32" s="3" t="inlineStr">
        <is>
          <t>•  Rebound effects (efficiency → more usage) are real and unmodeled; the frugality flag is the partial control.</t>
        </is>
      </c>
    </row>
    <row r="34">
      <c r="B34" s="4" t="inlineStr">
        <is>
          <t>Foundational sources (§11)</t>
        </is>
      </c>
    </row>
    <row r="35">
      <c r="B35" s="47" t="inlineStr">
        <is>
          <t>Measurement &amp; disclosure:</t>
        </is>
      </c>
    </row>
    <row r="36">
      <c r="B36" s="3" t="inlineStr">
        <is>
          <t>Elsworth et al. (Google), 'Measuring the environmental impact of delivering AI', arXiv:2508.15734 (2025) · Mistral AI × ADEME/Carbone 4, 'LCA of Mistral Large 2' (2025) · OpenAI (Altman), per-query energy statement (2025) · Epoch AI, 'How much energy does ChatGPT use?' (2025)</t>
        </is>
      </c>
    </row>
    <row r="38">
      <c r="B38" s="47" t="inlineStr">
        <is>
          <t>Benchmarks:</t>
        </is>
      </c>
    </row>
    <row r="39">
      <c r="B39" s="3" t="inlineStr">
        <is>
          <t>Jegham et al., 'How Hungry is AI?', arXiv:2505.09598 (2025) · Luccioni et al., 'AI Energy Score' v1–v2 (2025) · Luccioni, Jernite &amp; Strubell, 'Power Hungry Processing', FAccT (2024)</t>
        </is>
      </c>
    </row>
    <row r="41">
      <c r="B41" s="47" t="inlineStr">
        <is>
          <t>Water:</t>
        </is>
      </c>
    </row>
    <row r="42">
      <c r="B42" s="3" t="inlineStr">
        <is>
          <t>Li, Yang, Islam &amp; Ren, 'Making AI Less "Thirsty"', arXiv:2304.03271 (2023; CACM 2025) · Macknick et al., operational water factors (2012)</t>
        </is>
      </c>
    </row>
    <row r="44">
      <c r="B44" s="47" t="inlineStr">
        <is>
          <t>Lifecycle &amp; embodied:</t>
        </is>
      </c>
    </row>
    <row r="45">
      <c r="B45" s="3" t="inlineStr">
        <is>
          <t>Luccioni, Viguier &amp; Ligozat, 'BLOOM LCA', arXiv:2211.02001 (2022) · Faiz et al., 'LLMCarbon', ICLR (2024) · Boavizta server-impact database · NVIDIA HGX embodied-carbon disclosures</t>
        </is>
      </c>
    </row>
    <row r="47">
      <c r="B47" s="47" t="inlineStr">
        <is>
          <t>Standards:</t>
        </is>
      </c>
    </row>
    <row r="48">
      <c r="B48" s="3" t="inlineStr">
        <is>
          <t>ISO/IEC 21031:2024 (SCI) · GSF 'SCI for AI' (2025) · ISO 14040/14044 · ITU-T L.1410 · AFNOR SPEC 2314 (2024) · GHG Protocol Scope 2 Guidance · EU AI Act Art. 40/51/95, Annex XI</t>
        </is>
      </c>
    </row>
    <row r="50">
      <c r="B50" s="47" t="inlineStr">
        <is>
          <t>Context data:</t>
        </is>
      </c>
    </row>
    <row r="51">
      <c r="B51" s="3" t="inlineStr">
        <is>
          <t>Ember 'Global Electricity Review' (2025, 2024 data) · IEA 'Electricity 2025' / 'Energy &amp; AI' (2025) · Uptime Institute 'Global Data Center Survey' (2025) · operator sustainability reports (Google, Microsoft, Meta, AWS)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  <col width="70" customWidth="1" min="4" max="4"/>
  </cols>
  <sheetData>
    <row r="1">
      <c r="A1" s="16" t="inlineStr">
        <is>
          <t>Framework</t>
        </is>
      </c>
      <c r="B1" s="16" t="inlineStr">
        <is>
          <t>Type</t>
        </is>
      </c>
      <c r="C1" s="16" t="inlineStr">
        <is>
          <t>What it does</t>
        </is>
      </c>
      <c r="D1" s="16" t="inlineStr">
        <is>
          <t>Relation to GAIA</t>
        </is>
      </c>
    </row>
    <row r="2">
      <c r="A2" s="26" t="inlineStr">
        <is>
          <t>SCI — ISO/IEC 21031:2024 (Green Software Foundation)</t>
        </is>
      </c>
      <c r="B2" s="26" t="inlineStr">
        <is>
          <t>Standard (rate)</t>
        </is>
      </c>
      <c r="C2" s="26" t="inlineStr">
        <is>
          <t>SCI = (E×I + M)/R per functional unit</t>
        </is>
      </c>
      <c r="D2" s="26" t="inlineStr">
        <is>
          <t>GAIA's §4 computes exactly E, I, M, R; any GAIA result restates as an SCI score (energy → E, location CI → I, embodied → M, functional unit → R)</t>
        </is>
      </c>
    </row>
    <row r="3">
      <c r="A3" s="26" t="inlineStr">
        <is>
          <t>SCI for AI (GSF, ratified 2025)</t>
        </is>
      </c>
      <c r="B3" s="26" t="inlineStr">
        <is>
          <t>Standard extension</t>
        </is>
      </c>
      <c r="C3" s="26" t="inlineStr">
        <is>
          <t>SCI adapted to AI lifecycle incl. training/inference split</t>
        </is>
      </c>
      <c r="D3" s="26" t="inlineStr">
        <is>
          <t>GAIA Module A is an implementation; GAIA adds water, grading, frugality, and the decision layer SCI deliberately leaves out</t>
        </is>
      </c>
    </row>
    <row r="4">
      <c r="A4" s="26" t="inlineStr">
        <is>
          <t>AI Energy Score (Hugging Face/Salesforce/Cohere/CMU, 2025–)</t>
        </is>
      </c>
      <c r="B4" s="26" t="inlineStr">
        <is>
          <t>Benchmark + rating</t>
        </is>
      </c>
      <c r="C4" s="26" t="inlineStr">
        <is>
          <t>Standardized GPU-energy benchmark on H100, 5-star ratings per task</t>
        </is>
      </c>
      <c r="D4" s="26" t="inlineStr">
        <is>
          <t>GAIA consumes it as T3 data; GAIA's task-conditioned grades follow its logic but grade YOUR deployment, not the bare model</t>
        </is>
      </c>
    </row>
    <row r="5">
      <c r="A5" s="26" t="inlineStr">
        <is>
          <t>EcoLogits (GenAI Impact)</t>
        </is>
      </c>
      <c r="B5" s="26" t="inlineStr">
        <is>
          <t>Software library</t>
        </is>
      </c>
      <c r="C5" s="26" t="inlineStr">
        <is>
          <t>ISO-14044-based per-request estimates for API models</t>
        </is>
      </c>
      <c r="D5" s="26" t="inlineStr">
        <is>
          <t>Peer methodology for GAIA's T4 model; GAIA is spreadsheet-first and adds the organizational workflow</t>
        </is>
      </c>
    </row>
    <row r="6">
      <c r="A6" s="26" t="inlineStr">
        <is>
          <t>CodeCarbon / Green Algorithms</t>
        </is>
      </c>
      <c r="B6" s="26" t="inlineStr">
        <is>
          <t>Measurement tools</t>
        </is>
      </c>
      <c r="C6" s="26" t="inlineStr">
        <is>
          <t>Meter or estimate compute energy/carbon</t>
        </is>
      </c>
      <c r="D6" s="26" t="inlineStr">
        <is>
          <t>GAIA's T1 data source</t>
        </is>
      </c>
    </row>
    <row r="7">
      <c r="A7" s="26" t="inlineStr">
        <is>
          <t>AFNOR SPEC 2314 — Frugal AI (2024)</t>
        </is>
      </c>
      <c r="B7" s="26" t="inlineStr">
        <is>
          <t>Reference framework</t>
        </is>
      </c>
      <c r="C7" s="26" t="inlineStr">
        <is>
          <t>Lifecycle methodology + 31 best practices + 'question the need'</t>
        </is>
      </c>
      <c r="D7" s="26" t="inlineStr">
        <is>
          <t>GAIA's §5.3 frugality check descends from it; GAIA adds quantitative grading and uncertainty tiers</t>
        </is>
      </c>
    </row>
    <row r="8">
      <c r="A8" s="26" t="inlineStr">
        <is>
          <t>ITU-T L.1410 / ISO 14040/44</t>
        </is>
      </c>
      <c r="B8" s="26" t="inlineStr">
        <is>
          <t>LCA standards</t>
        </is>
      </c>
      <c r="C8" s="26" t="inlineStr">
        <is>
          <t>Boundary and allocation rules for ICT LCA</t>
        </is>
      </c>
      <c r="D8" s="26" t="inlineStr">
        <is>
          <t>Govern GAIA's §2 boundary declarations</t>
        </is>
      </c>
    </row>
    <row r="9">
      <c r="A9" s="26" t="inlineStr">
        <is>
          <t>GHG Protocol (Scope 2 guidance, ICT sector)</t>
        </is>
      </c>
      <c r="B9" s="26" t="inlineStr">
        <is>
          <t>Accounting standard</t>
        </is>
      </c>
      <c r="C9" s="26" t="inlineStr">
        <is>
          <t>Corporate inventories, dual reporting</t>
        </is>
      </c>
      <c r="D9" s="26" t="inlineStr">
        <is>
          <t>GAIA totals feed Scope 2/3 line items; P6 dual reporting is inherited from it</t>
        </is>
      </c>
    </row>
    <row r="10">
      <c r="A10" s="26" t="inlineStr">
        <is>
          <t>LLMCarbon (ICLR 2024)</t>
        </is>
      </c>
      <c r="B10" s="26" t="inlineStr">
        <is>
          <t>Academic model</t>
        </is>
      </c>
      <c r="C10" s="26" t="inlineStr">
        <is>
          <t>End-to-end (training+inference+embodied) carbon prediction</t>
        </is>
      </c>
      <c r="D10" s="26" t="inlineStr">
        <is>
          <t>Basis for GAIA's optional §4.7 training attribution</t>
        </is>
      </c>
    </row>
    <row r="11">
      <c r="A11" s="26" t="inlineStr">
        <is>
          <t>EU AI Act (Art. 40/51, Annex XI)</t>
        </is>
      </c>
      <c r="B11" s="26" t="inlineStr">
        <is>
          <t>Regulation</t>
        </is>
      </c>
      <c r="C11" s="26" t="inlineStr">
        <is>
          <t>Energy documentation duties for GPAI providers</t>
        </is>
      </c>
      <c r="D11" s="26" t="inlineStr">
        <is>
          <t>GAIA's disclosure template (§8) is structured so provider-side answers slot in when they become available</t>
        </is>
      </c>
    </row>
    <row r="12">
      <c r="A12" s="26" t="inlineStr">
        <is>
          <t>ISO/IEC TR 20226:2025</t>
        </is>
      </c>
      <c r="B12" s="26" t="inlineStr">
        <is>
          <t>Standard (technical report)</t>
        </is>
      </c>
      <c r="C12" s="26" t="inlineStr">
        <is>
          <t>Overview of environmental sustainability aspects and metrics of AI systems across their lifecycle (published July 2025)</t>
        </is>
      </c>
      <c r="D12" s="26" t="inlineStr">
        <is>
          <t>GAIA is an executable companion: it implements the TR's metric categories (energy, water, carbon, embodied) in runnable form; conformance crosswalk on the roadmap (COMPARISON.md §4)</t>
        </is>
      </c>
    </row>
    <row r="13">
      <c r="A13" s="26" t="inlineStr">
        <is>
          <t>ITU-T L.1801 (02/2026)</t>
        </is>
      </c>
      <c r="B13" s="26" t="inlineStr">
        <is>
          <t>Standard (ITU-T Recommendation)</t>
        </is>
      </c>
      <c r="C13" s="26" t="inlineStr">
        <is>
          <t>Guidelines for assessing the environmental impact of AI systems</t>
        </is>
      </c>
      <c r="D13" s="26" t="inlineStr">
        <is>
          <t>Same relation: L.1801 gives the assessment guidelines, GAIA the no-code instrument that executes them; tracked each revision cycle</t>
        </is>
      </c>
    </row>
    <row r="15">
      <c r="A15" s="12" t="inlineStr">
        <is>
          <t>What none of these provides — and GAIA does — is the combination of: (a) uncertainty-tiered estimates usable WITHOUT provider cooperation, (b) water alongside carbon, (c) task-conditioned grading of deployments, (d) an explicit frugality check, and (e) an Excel artifact a non-programmer can run. (FRAMEWORK.md §7)</t>
        </is>
      </c>
    </row>
  </sheetData>
  <mergeCells count="1">
    <mergeCell ref="A15:D1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42" customWidth="1" min="3" max="3"/>
    <col width="66" customWidth="1" min="4" max="4"/>
  </cols>
  <sheetData>
    <row r="1">
      <c r="A1" s="16" t="inlineStr">
        <is>
          <t>Framework</t>
        </is>
      </c>
      <c r="B1" s="16" t="inlineStr">
        <is>
          <t>Element</t>
        </is>
      </c>
      <c r="C1" s="16" t="inlineStr">
        <is>
          <t>What it asks</t>
        </is>
      </c>
      <c r="D1" s="16" t="inlineStr">
        <is>
          <t>GAIA output that populates it</t>
        </is>
      </c>
    </row>
    <row r="2">
      <c r="A2" s="26" t="inlineStr">
        <is>
          <t>UN SDG 6 — Clean water and sanitation</t>
        </is>
      </c>
      <c r="B2" s="26" t="inlineStr">
        <is>
          <t>Target 6.4</t>
        </is>
      </c>
      <c r="C2" s="26" t="inlineStr">
        <is>
          <t>Substantially increase water-use efficiency across all sectors</t>
        </is>
      </c>
      <c r="D2" s="26" t="inlineStr">
        <is>
          <t>Water intensity per functional unit (L/request, L/1M tokens) from the two-path model; trend across periods in the Usage Log</t>
        </is>
      </c>
    </row>
    <row r="3">
      <c r="A3" s="26" t="inlineStr">
        <is>
          <t>UN SDG 7 — Affordable and clean energy</t>
        </is>
      </c>
      <c r="B3" s="26" t="inlineStr">
        <is>
          <t>Target 7.3</t>
        </is>
      </c>
      <c r="C3" s="26" t="inlineStr">
        <is>
          <t>Double the global rate of improvement in energy efficiency</t>
        </is>
      </c>
      <c r="D3" s="26" t="inlineStr">
        <is>
          <t>The A–E grade is an energy-intensity rating per task class; Module A' intensity-reduction targets track 7.3 directly</t>
        </is>
      </c>
    </row>
    <row r="4">
      <c r="A4" s="26" t="inlineStr">
        <is>
          <t>UN SDG 7 — Affordable and clean energy</t>
        </is>
      </c>
      <c r="B4" s="26" t="inlineStr">
        <is>
          <t>Target 7.2</t>
        </is>
      </c>
      <c r="C4" s="26" t="inlineStr">
        <is>
          <t>Increase the share of renewable energy</t>
        </is>
      </c>
      <c r="D4" s="26" t="inlineStr">
        <is>
          <t>Market-based CI input and the low-carbon-region lever document the renewable share of AI electricity</t>
        </is>
      </c>
    </row>
    <row r="5">
      <c r="A5" s="26" t="inlineStr">
        <is>
          <t>UN SDG 8 — Decent work and economic growth</t>
        </is>
      </c>
      <c r="B5" s="26" t="inlineStr">
        <is>
          <t>Target 8.4</t>
        </is>
      </c>
      <c r="C5" s="26" t="inlineStr">
        <is>
          <t>Improve resource efficiency; decouple growth from environmental degradation</t>
        </is>
      </c>
      <c r="D5" s="26" t="inlineStr">
        <is>
          <t>Rates-before-totals (P4): footprint per task outcome (R4) is a decoupling metric — AI output vs. resources consumed</t>
        </is>
      </c>
    </row>
    <row r="6">
      <c r="A6" s="26" t="inlineStr">
        <is>
          <t>UN SDG 9 — Industry innovation and infrastructure</t>
        </is>
      </c>
      <c r="B6" s="26" t="inlineStr">
        <is>
          <t>Target 9.4</t>
        </is>
      </c>
      <c r="C6" s="26" t="inlineStr">
        <is>
          <t>Upgrade infrastructure for sustainability and resource-use efficiency</t>
        </is>
      </c>
      <c r="D6" s="26" t="inlineStr">
        <is>
          <t>Mitigation levers 1, 2, 8 (right-sizing, reasoning budgets, newer accelerators) with measured effect sizes</t>
        </is>
      </c>
    </row>
    <row r="7">
      <c r="A7" s="26" t="inlineStr">
        <is>
          <t>UN SDG 12 — Responsible consumption and production</t>
        </is>
      </c>
      <c r="B7" s="26" t="inlineStr">
        <is>
          <t>Target 12.2</t>
        </is>
      </c>
      <c r="C7" s="26" t="inlineStr">
        <is>
          <t>Sustainable management and efficient use of natural resources</t>
        </is>
      </c>
      <c r="D7" s="26" t="inlineStr">
        <is>
          <t>The full Ground→Assess inventory: an auditable account of energy and water consumed by AI use</t>
        </is>
      </c>
    </row>
    <row r="8">
      <c r="A8" s="26" t="inlineStr">
        <is>
          <t>UN SDG 12 — Responsible consumption and production</t>
        </is>
      </c>
      <c r="B8" s="26" t="inlineStr">
        <is>
          <t>Target 12.6</t>
        </is>
      </c>
      <c r="C8" s="26" t="inlineStr">
        <is>
          <t>Encourage companies to integrate sustainability information into reporting</t>
        </is>
      </c>
      <c r="D8" s="26" t="inlineStr">
        <is>
          <t>The GAIA disclosure template (FRAMEWORK.md §8), designed to feed GRI/ESRS/IFRS reports</t>
        </is>
      </c>
    </row>
    <row r="9">
      <c r="A9" s="26" t="inlineStr">
        <is>
          <t>UN SDG 13 — Climate action</t>
        </is>
      </c>
      <c r="B9" s="26" t="inlineStr">
        <is>
          <t>Targets 13.2 / 13.3</t>
        </is>
      </c>
      <c r="C9" s="26" t="inlineStr">
        <is>
          <t>Integrate climate measures into policies and planning; improve capacity</t>
        </is>
      </c>
      <c r="D9" s="26" t="inlineStr">
        <is>
          <t>Dual-reported carbon totals and intensities; evidence-ranked reduction plan; SCI/GHGP restatement</t>
        </is>
      </c>
    </row>
    <row r="10">
      <c r="A10" s="26" t="inlineStr">
        <is>
          <t>GRI Standards</t>
        </is>
      </c>
      <c r="B10" s="26" t="inlineStr">
        <is>
          <t>GRI 302-1</t>
        </is>
      </c>
      <c r="C10" s="26" t="inlineStr">
        <is>
          <t>Energy consumption within the organization</t>
        </is>
      </c>
      <c r="D10" s="26" t="inlineStr">
        <is>
          <t>Monthly kWh of self-hosted AI (E_month)</t>
        </is>
      </c>
    </row>
    <row r="11">
      <c r="A11" s="26" t="inlineStr">
        <is>
          <t>GRI Standards</t>
        </is>
      </c>
      <c r="B11" s="26" t="inlineStr">
        <is>
          <t>GRI 302-2</t>
        </is>
      </c>
      <c r="C11" s="26" t="inlineStr">
        <is>
          <t>Energy consumption outside the organization</t>
        </is>
      </c>
      <c r="D11" s="26" t="inlineStr">
        <is>
          <t>Monthly kWh of API/cloud AI use</t>
        </is>
      </c>
    </row>
    <row r="12">
      <c r="A12" s="26" t="inlineStr">
        <is>
          <t>GRI Standards</t>
        </is>
      </c>
      <c r="B12" s="26" t="inlineStr">
        <is>
          <t>GRI 302-3</t>
        </is>
      </c>
      <c r="C12" s="26" t="inlineStr">
        <is>
          <t>Energy intensity</t>
        </is>
      </c>
      <c r="D12" s="26" t="inlineStr">
        <is>
          <t>Wh per functional unit (R1–R4)</t>
        </is>
      </c>
    </row>
    <row r="13">
      <c r="A13" s="26" t="inlineStr">
        <is>
          <t>GRI Standards</t>
        </is>
      </c>
      <c r="B13" s="26" t="inlineStr">
        <is>
          <t>GRI 302-4</t>
        </is>
      </c>
      <c r="C13" s="26" t="inlineStr">
        <is>
          <t>Reduction of energy consumption</t>
        </is>
      </c>
      <c r="D13" s="26" t="inlineStr">
        <is>
          <t>Before/after intensity from the mitigation plan</t>
        </is>
      </c>
    </row>
    <row r="14">
      <c r="A14" s="26" t="inlineStr">
        <is>
          <t>GRI Standards</t>
        </is>
      </c>
      <c r="B14" s="26" t="inlineStr">
        <is>
          <t>GRI 303-5</t>
        </is>
      </c>
      <c r="C14" s="26" t="inlineStr">
        <is>
          <t>Water consumption</t>
        </is>
      </c>
      <c r="D14" s="26" t="inlineStr">
        <is>
          <t>On-site path (E_IT × WUE) for owned facilities; two-path total as value-chain context</t>
        </is>
      </c>
    </row>
    <row r="15">
      <c r="A15" s="26" t="inlineStr">
        <is>
          <t>GRI Standards</t>
        </is>
      </c>
      <c r="B15" s="26" t="inlineStr">
        <is>
          <t>GRI 305-2</t>
        </is>
      </c>
      <c r="C15" s="26" t="inlineStr">
        <is>
          <t>Energy indirect (Scope 2) GHG emissions</t>
        </is>
      </c>
      <c r="D15" s="26" t="inlineStr">
        <is>
          <t>Location- AND market-based carbon of self-hosted deployments, reported separately as GRI requires</t>
        </is>
      </c>
    </row>
    <row r="16">
      <c r="A16" s="26" t="inlineStr">
        <is>
          <t>GRI Standards</t>
        </is>
      </c>
      <c r="B16" s="26" t="inlineStr">
        <is>
          <t>GRI 305-3</t>
        </is>
      </c>
      <c r="C16" s="26" t="inlineStr">
        <is>
          <t>Other indirect (Scope 3) GHG emissions</t>
        </is>
      </c>
      <c r="D16" s="26" t="inlineStr">
        <is>
          <t>API-use carbon (categories 1/11 logic per arXiv:2606.10660) plus the embodied adder</t>
        </is>
      </c>
    </row>
    <row r="17">
      <c r="A17" s="26" t="inlineStr">
        <is>
          <t>GRI Standards</t>
        </is>
      </c>
      <c r="B17" s="26" t="inlineStr">
        <is>
          <t>GRI 305-4</t>
        </is>
      </c>
      <c r="C17" s="26" t="inlineStr">
        <is>
          <t>GHG emissions intensity</t>
        </is>
      </c>
      <c r="D17" s="26" t="inlineStr">
        <is>
          <t>kg CO2e per functional unit</t>
        </is>
      </c>
    </row>
    <row r="18">
      <c r="A18" s="26" t="inlineStr">
        <is>
          <t>ESRS (CSRD)</t>
        </is>
      </c>
      <c r="B18" s="26" t="inlineStr">
        <is>
          <t>E1-5</t>
        </is>
      </c>
      <c r="C18" s="26" t="inlineStr">
        <is>
          <t>Energy consumption and mix</t>
        </is>
      </c>
      <c r="D18" s="26" t="inlineStr">
        <is>
          <t>E_month split by deployment path; market CI documents the mix claim</t>
        </is>
      </c>
    </row>
    <row r="19">
      <c r="A19" s="26" t="inlineStr">
        <is>
          <t>ESRS (CSRD)</t>
        </is>
      </c>
      <c r="B19" s="26" t="inlineStr">
        <is>
          <t>E1-6</t>
        </is>
      </c>
      <c r="C19" s="26" t="inlineStr">
        <is>
          <t>Gross Scopes 1–3 GHG emissions</t>
        </is>
      </c>
      <c r="D19" s="26" t="inlineStr">
        <is>
          <t>Both Scope-2 methods required by ESRS are native to GAIA (P6 dual reporting)</t>
        </is>
      </c>
    </row>
    <row r="20">
      <c r="A20" s="26" t="inlineStr">
        <is>
          <t>ESRS (CSRD)</t>
        </is>
      </c>
      <c r="B20" s="26" t="inlineStr">
        <is>
          <t>E1-4</t>
        </is>
      </c>
      <c r="C20" s="26" t="inlineStr">
        <is>
          <t>Targets related to climate change</t>
        </is>
      </c>
      <c r="D20" s="26" t="inlineStr">
        <is>
          <t>Intensity-reduction targets from Module A'</t>
        </is>
      </c>
    </row>
    <row r="21">
      <c r="A21" s="26" t="inlineStr">
        <is>
          <t>ESRS (CSRD)</t>
        </is>
      </c>
      <c r="B21" s="26" t="inlineStr">
        <is>
          <t>E3-4</t>
        </is>
      </c>
      <c r="C21" s="26" t="inlineStr">
        <is>
          <t>Water consumption</t>
        </is>
      </c>
      <c r="D21" s="26" t="inlineStr">
        <is>
          <t>Two-path water total with the on-site/off-site split</t>
        </is>
      </c>
    </row>
    <row r="22">
      <c r="A22" s="26" t="inlineStr">
        <is>
          <t>IFRS S2 (ISSB)</t>
        </is>
      </c>
      <c r="B22" s="26" t="inlineStr">
        <is>
          <t>Cross-industry metrics</t>
        </is>
      </c>
      <c r="C22" s="26" t="inlineStr">
        <is>
          <t>Scopes 1–3, entity-specific metrics</t>
        </is>
      </c>
      <c r="D22" s="26" t="inlineStr">
        <is>
          <t>GAIA totals as the AI contribution to Scope 2/3; per-FU intensities as entity-specific metrics</t>
        </is>
      </c>
    </row>
    <row r="23">
      <c r="A23" s="26" t="inlineStr">
        <is>
          <t>CDP</t>
        </is>
      </c>
      <c r="B23" s="26" t="inlineStr">
        <is>
          <t>Climate &amp; water questionnaires</t>
        </is>
      </c>
      <c r="C23" s="26" t="inlineStr">
        <is>
          <t>Quantitative fields + methodology disclosure</t>
        </is>
      </c>
      <c r="D23" s="26" t="inlineStr">
        <is>
          <t>Carbon and water modules populate the fields; the data-quality statement answers methodology questions honestly</t>
        </is>
      </c>
    </row>
    <row r="24">
      <c r="A24" s="26" t="inlineStr">
        <is>
          <t>SBTi</t>
        </is>
      </c>
      <c r="B24" s="26" t="inlineStr">
        <is>
          <t>Near-term Scope 2/3 targets</t>
        </is>
      </c>
      <c r="C24" s="26" t="inlineStr">
        <is>
          <t>Validated absolute or intensity trajectories</t>
        </is>
      </c>
      <c r="D24" s="26" t="inlineStr">
        <is>
          <t>GAIA supplies the AI-use baseline and tracks intensity; totals feed target-setting (grades are not targets)</t>
        </is>
      </c>
    </row>
    <row r="25">
      <c r="A25" s="26" t="inlineStr">
        <is>
          <t>EU AI Act</t>
        </is>
      </c>
      <c r="B25" s="26" t="inlineStr">
        <is>
          <t>Art. 40/51, Annex XI</t>
        </is>
      </c>
      <c r="C25" s="26" t="inlineStr">
        <is>
          <t>GPAI energy documentation</t>
        </is>
      </c>
      <c r="D25" s="26" t="inlineStr">
        <is>
          <t>Disclosure-template provider fields accept Annex XI data as it becomes available</t>
        </is>
      </c>
    </row>
    <row r="26">
      <c r="A26" s="26" t="inlineStr">
        <is>
          <t>UN Global Compact</t>
        </is>
      </c>
      <c r="B26" s="26" t="inlineStr">
        <is>
          <t>Principles 7–9</t>
        </is>
      </c>
      <c r="C26" s="26" t="inlineStr">
        <is>
          <t>Precaution, environmental responsibility, clean technology</t>
        </is>
      </c>
      <c r="D26" s="26" t="inlineStr">
        <is>
          <t>The GAIA report evidences Principle 7 (precautionary quantification) and 9 (diffusion of efficient technology via the lever catalogue)</t>
        </is>
      </c>
    </row>
    <row r="28" ht="45" customHeight="1">
      <c r="A28" s="12" t="inlineStr">
        <is>
          <t>Boundary: GAIA measures the environmental COST of AI use; whether an AI application advances an SDG ('AI for Good') is out of scope — the same boundary ISO/IEC TR 20226:2025 draws. SDG claims in a conforming report must trace to the outputs listed here (P1: traceable or absent). Full capability matrix and gap analysis: COMPARISON.md in the repository.</t>
        </is>
      </c>
    </row>
  </sheetData>
  <mergeCells count="1">
    <mergeCell ref="A28:D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0" customWidth="1" min="3" max="3"/>
  </cols>
  <sheetData>
    <row r="1">
      <c r="A1" s="16" t="inlineStr">
        <is>
          <t>Version</t>
        </is>
      </c>
      <c r="B1" s="16" t="inlineStr">
        <is>
          <t>Date</t>
        </is>
      </c>
      <c r="C1" s="16" t="inlineStr">
        <is>
          <t>Changes</t>
        </is>
      </c>
    </row>
    <row r="2" ht="150" customHeight="1">
      <c r="A2" s="10" t="inlineStr">
        <is>
          <t>2.1.0</t>
        </is>
      </c>
      <c r="B2" s="26" t="inlineStr">
        <is>
          <t>2026-07-06</t>
        </is>
      </c>
      <c r="C2" s="26" t="inlineStr">
        <is>
          <t>GAIA 2.1 — comparability release. New 'SDG &amp; Reporting Map' sheet maps GAIA outputs onto UN SDG targets (6.4, 7.2/7.3, 8.4, 9.4, 12.2/12.6, 13.2/13.3), GRI 302/303/305, ESRS E1/E3, IFRS S2, CDP, SBTi, EU AI Act Annex XI, and UN Global Compact Principles 7–9. Framework Comparison extended with ISO/IEC TR 20226:2025 and ITU-T L.1801 (02/2026). Full capability matrix and gap-analysis roadmap: COMPARISON.md. Methodology unchanged (minor version per §9).</t>
        </is>
      </c>
    </row>
    <row r="3" ht="150" customHeight="1">
      <c r="A3" s="10" t="inlineStr">
        <is>
          <t>2.0.0</t>
        </is>
      </c>
      <c r="B3" s="26" t="inlineStr">
        <is>
          <t>2026-07-06</t>
        </is>
      </c>
      <c r="C3" s="26" t="inlineStr">
        <is>
          <t>GAIA 2.0 — full science-based rebuild. The v1 composite Environmental Score (dimensionally incoherent), Benefit Score (subjective weights) and 'Prohibited' decision matrix are REMOVED; replaced by task-conditioned A–E energy grades on fixed logarithmic bands, a frugality flag (F0/F1/F2+) reported beside the grade, and grade×flag guidance. Per-model water/carbon columns abolished (P3): the model database stores energy only, with source, vintage, tier and bounds; carbon and water are computed from separate sourced Region/Facility tables. Every result is low/central/high (P2); dual location/market carbon reporting (P6); embodied adder (§4.6); two-path water model (§4.4). The workbook is now GENERATED by build_workbook.py from data/*.csv — never hand-edited (§9). Full component-by-component audit of what was kept, rebuilt, and removed: see DECISIONS.md in the repository.</t>
        </is>
      </c>
    </row>
    <row r="5">
      <c r="C5" s="12" t="inlineStr">
        <is>
          <t>Versioning is semantic (§9): factor-table refreshes bump the minor version; methodology changes bump the major version and require a documented rationale against P1–P7. Errors are fixed in the data tables with a changelog entry, never silently.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GAIA build_workbook.py</dc:creator>
  <dc:title>GAIA Assessment Tool</dc:title>
  <dc:description>Generated from data/*.csv by build_workbook.py — version 2.1.0 (2026-07-06)</dc:description>
  <dcterms:created xsi:type="dcterms:W3CDTF">2026-07-06T00:00:00Z</dcterms:created>
  <dcterms:modified xsi:type="dcterms:W3CDTF">2026-07-12T19:09:06Z</dcterms:modified>
</cp:coreProperties>
</file>