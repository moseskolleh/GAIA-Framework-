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AI Impact Assessment" sheetId="2" r:id="rId5"/>
    <sheet state="visible" name="Calculation Engine" sheetId="3" r:id="rId6"/>
    <sheet state="visible" name="Decision Matrix" sheetId="4" r:id="rId7"/>
    <sheet state="visible" name="Reference Data" sheetId="5" r:id="rId8"/>
    <sheet state="visible" name="Weekly Monitor" sheetId="6" r:id="rId9"/>
    <sheet state="visible" name="Mitigation Strategies" sheetId="7" r:id="rId10"/>
    <sheet state="visible" name="Documentation" sheetId="8" r:id="rId11"/>
  </sheets>
  <definedNames/>
  <calcPr/>
  <extLst>
    <ext uri="GoogleSheetsCustomDataVersion2">
      <go:sheetsCustomData xmlns:go="http://customooxmlschemas.google.com/" r:id="rId12" roundtripDataChecksum="GAWgXdUUmdeT3rMopeR1c8S3htqhV2iV7Iu2NLVKPWw="/>
    </ext>
  </extLst>
</workbook>
</file>

<file path=xl/sharedStrings.xml><?xml version="1.0" encoding="utf-8"?>
<sst xmlns="http://schemas.openxmlformats.org/spreadsheetml/2006/main" count="364" uniqueCount="256">
  <si>
    <t>GREEN AI IMPACT ASSESSMENT DASHBOARD</t>
  </si>
  <si>
    <t>Current Assessment Summary</t>
  </si>
  <si>
    <t>Model Efficiency Comparison</t>
  </si>
  <si>
    <t>Active Model:</t>
  </si>
  <si>
    <t>Efficiency Grade:</t>
  </si>
  <si>
    <t>Monthly Queries:</t>
  </si>
  <si>
    <t>Monthly Carbon (kg):</t>
  </si>
  <si>
    <t>Environmental Score:</t>
  </si>
  <si>
    <t>Monthly Water (L):</t>
  </si>
  <si>
    <t>Benefit Score:</t>
  </si>
  <si>
    <t>Monthly Energy (kWh):</t>
  </si>
  <si>
    <t>Quick Actions &amp; Alerts</t>
  </si>
  <si>
    <t>Alert Level:</t>
  </si>
  <si>
    <t>Recommended Action:</t>
  </si>
  <si>
    <t>Potential Savings:</t>
  </si>
  <si>
    <t>Monthly Usage Trends</t>
  </si>
  <si>
    <t>GREEN AI IMPACT ASSESSMENT</t>
  </si>
  <si>
    <t>STEP 1: MODEL SELECTION</t>
  </si>
  <si>
    <t>STEP 3: BENEFIT ASSESSMENT</t>
  </si>
  <si>
    <t>Select AI Model:</t>
  </si>
  <si>
    <t>o3</t>
  </si>
  <si>
    <t>Time Saved (hrs/month):</t>
  </si>
  <si>
    <t>Custom Model Name:</t>
  </si>
  <si>
    <t>Quality Improvement (%):</t>
  </si>
  <si>
    <t>Strategic Value (1-10):</t>
  </si>
  <si>
    <t>STEP 2: TASK DEFINITION</t>
  </si>
  <si>
    <t>Error Reduction (%):</t>
  </si>
  <si>
    <t>User Satisfaction (1-10):</t>
  </si>
  <si>
    <t>Task Type:</t>
  </si>
  <si>
    <t>Document Analysis</t>
  </si>
  <si>
    <t>Query Complexity:</t>
  </si>
  <si>
    <t>Medium</t>
  </si>
  <si>
    <t>Expected Monthly Queries:</t>
  </si>
  <si>
    <t>Task Criticality:</t>
  </si>
  <si>
    <t>High</t>
  </si>
  <si>
    <t>Average Prompt Length:</t>
  </si>
  <si>
    <t>ASSESSMENT RESULTS</t>
  </si>
  <si>
    <t>Environmental Impact</t>
  </si>
  <si>
    <t>Benefit Assessment</t>
  </si>
  <si>
    <t>Energy per Query (Wh):</t>
  </si>
  <si>
    <t>Efficiency Score:</t>
  </si>
  <si>
    <t>Water per Query (L):</t>
  </si>
  <si>
    <t>Quality Score:</t>
  </si>
  <si>
    <t>Carbon per Query (gCO2e):</t>
  </si>
  <si>
    <t>Strategic Score:</t>
  </si>
  <si>
    <t>Monthly Total Impact</t>
  </si>
  <si>
    <t>Total Energy (kWh):</t>
  </si>
  <si>
    <t>Total Water (kL):</t>
  </si>
  <si>
    <t>Total Carbon (kgCO2e):</t>
  </si>
  <si>
    <t>FINAL ASSESSMENT</t>
  </si>
  <si>
    <t>Environmental Impact Score:</t>
  </si>
  <si>
    <t>ECO-EFFICIENCY GRADE:</t>
  </si>
  <si>
    <t>Recommendation:</t>
  </si>
  <si>
    <t>CALCULATION ENGINE</t>
  </si>
  <si>
    <t>Input Parameters</t>
  </si>
  <si>
    <t>Per-Query Calculations</t>
  </si>
  <si>
    <t>Benefit Calculations</t>
  </si>
  <si>
    <t>Selected Model:</t>
  </si>
  <si>
    <t>Wh</t>
  </si>
  <si>
    <t>Efficiency</t>
  </si>
  <si>
    <t>L</t>
  </si>
  <si>
    <t>Quality</t>
  </si>
  <si>
    <t>gCO2e</t>
  </si>
  <si>
    <t>Strategic</t>
  </si>
  <si>
    <t>Prompt Length:</t>
  </si>
  <si>
    <t>Monthly Totals</t>
  </si>
  <si>
    <t>Final Scores</t>
  </si>
  <si>
    <t>Total Benefit</t>
  </si>
  <si>
    <t>Environmental Impact Score</t>
  </si>
  <si>
    <t>Benefit Score</t>
  </si>
  <si>
    <t>DECISION MATRIX</t>
  </si>
  <si>
    <t>Grading Criteria</t>
  </si>
  <si>
    <t>Grade</t>
  </si>
  <si>
    <t>Env Impact</t>
  </si>
  <si>
    <t>Color</t>
  </si>
  <si>
    <t>Recommendation</t>
  </si>
  <si>
    <t>Action Required</t>
  </si>
  <si>
    <t>A+</t>
  </si>
  <si>
    <t>&lt;20</t>
  </si>
  <si>
    <t>&gt;80</t>
  </si>
  <si>
    <t>Dark Green</t>
  </si>
  <si>
    <t>Strongly Recommended</t>
  </si>
  <si>
    <t>Implement immediately</t>
  </si>
  <si>
    <t>A</t>
  </si>
  <si>
    <t>20-35</t>
  </si>
  <si>
    <t>70-80</t>
  </si>
  <si>
    <t>Green</t>
  </si>
  <si>
    <t>Recommended</t>
  </si>
  <si>
    <t>Proceed with standard monitoring</t>
  </si>
  <si>
    <t>B</t>
  </si>
  <si>
    <t>35-50</t>
  </si>
  <si>
    <t>Light Green</t>
  </si>
  <si>
    <t>Recommended with monitoring</t>
  </si>
  <si>
    <t>Weekly impact review</t>
  </si>
  <si>
    <t>C</t>
  </si>
  <si>
    <t>50-70</t>
  </si>
  <si>
    <t>Yellow</t>
  </si>
  <si>
    <t>Conditional approval</t>
  </si>
  <si>
    <t>Mitigation plan required</t>
  </si>
  <si>
    <t>D</t>
  </si>
  <si>
    <t>Orange</t>
  </si>
  <si>
    <t>Requires mitigation</t>
  </si>
  <si>
    <t>Immediate mitigation needed</t>
  </si>
  <si>
    <t>Current Assessment:</t>
  </si>
  <si>
    <t>Red</t>
  </si>
  <si>
    <t>F</t>
  </si>
  <si>
    <t>&gt;70</t>
  </si>
  <si>
    <t>Any</t>
  </si>
  <si>
    <t>Dark Red</t>
  </si>
  <si>
    <t>Prohibited</t>
  </si>
  <si>
    <t>Use not permitted</t>
  </si>
  <si>
    <t>MODEL REFERENCE DATA</t>
  </si>
  <si>
    <t>ENVIRONMENTAL MULTIPLIERS</t>
  </si>
  <si>
    <t>Model</t>
  </si>
  <si>
    <t>Energy_Wh</t>
  </si>
  <si>
    <t>Water_L</t>
  </si>
  <si>
    <t>Carbon_gCO2e</t>
  </si>
  <si>
    <t>Provider</t>
  </si>
  <si>
    <t>Hardware</t>
  </si>
  <si>
    <t>Model_Size</t>
  </si>
  <si>
    <t>GPT-4.1 nano</t>
  </si>
  <si>
    <t>OpenAI</t>
  </si>
  <si>
    <t>H200</t>
  </si>
  <si>
    <t>Small</t>
  </si>
  <si>
    <t>PUE</t>
  </si>
  <si>
    <t>WUE</t>
  </si>
  <si>
    <t>CIF</t>
  </si>
  <si>
    <t>GPT-4o mini</t>
  </si>
  <si>
    <t>A100</t>
  </si>
  <si>
    <t>OpenAI/Azure</t>
  </si>
  <si>
    <t>GPT-4o</t>
  </si>
  <si>
    <t>H100</t>
  </si>
  <si>
    <t>Large</t>
  </si>
  <si>
    <t>Anthropic/AWS</t>
  </si>
  <si>
    <t>GPT-4 Turbo</t>
  </si>
  <si>
    <t>Meta/AWS</t>
  </si>
  <si>
    <t>o1-mini</t>
  </si>
  <si>
    <t>DeepSeek</t>
  </si>
  <si>
    <t>o1</t>
  </si>
  <si>
    <t>o3-mini</t>
  </si>
  <si>
    <t>Claude-3.5 Haiku</t>
  </si>
  <si>
    <t>Anthropic</t>
  </si>
  <si>
    <t>Claude-3.5 Sonnet</t>
  </si>
  <si>
    <t>Claude-3.7 Sonnet</t>
  </si>
  <si>
    <t>LLaMA-3.1-8B</t>
  </si>
  <si>
    <t>Meta</t>
  </si>
  <si>
    <t>LLaMA-3.1-70B</t>
  </si>
  <si>
    <t>LLaMA-3.1-405B</t>
  </si>
  <si>
    <t>DeepSeek-V3</t>
  </si>
  <si>
    <t>H800</t>
  </si>
  <si>
    <t>DeepSeek-R1</t>
  </si>
  <si>
    <t>Custom</t>
  </si>
  <si>
    <t>Unknown</t>
  </si>
  <si>
    <t>WEEKLY MONITORING DASHBOARD</t>
  </si>
  <si>
    <t>Week of:</t>
  </si>
  <si>
    <t>2025-10-28</t>
  </si>
  <si>
    <t>Department:</t>
  </si>
  <si>
    <t>IT Services</t>
  </si>
  <si>
    <t>Weekly Metrics</t>
  </si>
  <si>
    <t>Performance Indicators</t>
  </si>
  <si>
    <t>Day</t>
  </si>
  <si>
    <t>Queries</t>
  </si>
  <si>
    <t>Energy (kWh)</t>
  </si>
  <si>
    <t>Water (L)</t>
  </si>
  <si>
    <t>Carbon (kg)</t>
  </si>
  <si>
    <t>Cost ($)</t>
  </si>
  <si>
    <t>Monday</t>
  </si>
  <si>
    <t>Weekly Target:</t>
  </si>
  <si>
    <t>Tuesday</t>
  </si>
  <si>
    <t>Actual Usage:</t>
  </si>
  <si>
    <t>Wednesday</t>
  </si>
  <si>
    <t>Variance:</t>
  </si>
  <si>
    <t>Thursday</t>
  </si>
  <si>
    <t>Friday</t>
  </si>
  <si>
    <t>Status:</t>
  </si>
  <si>
    <t>Saturday</t>
  </si>
  <si>
    <t>Sunday</t>
  </si>
  <si>
    <t>TOTAL</t>
  </si>
  <si>
    <t>Weekly Alerts &amp; Actions</t>
  </si>
  <si>
    <t>Recommended Actions:</t>
  </si>
  <si>
    <t>MITIGATION STRATEGIES</t>
  </si>
  <si>
    <t>Level</t>
  </si>
  <si>
    <t>Strategy</t>
  </si>
  <si>
    <t>Impact Reduction</t>
  </si>
  <si>
    <t>Effort</t>
  </si>
  <si>
    <t>Cost</t>
  </si>
  <si>
    <t>Timeline</t>
  </si>
  <si>
    <t>Priority</t>
  </si>
  <si>
    <t>Organization</t>
  </si>
  <si>
    <t>Switch to efficient models</t>
  </si>
  <si>
    <t>40-60%</t>
  </si>
  <si>
    <t>Low</t>
  </si>
  <si>
    <t>1 month</t>
  </si>
  <si>
    <t>Choose renewable cloud regions</t>
  </si>
  <si>
    <t>30-50%</t>
  </si>
  <si>
    <t>None</t>
  </si>
  <si>
    <t>Immediate</t>
  </si>
  <si>
    <t>Implement query limits</t>
  </si>
  <si>
    <t>20-30%</t>
  </si>
  <si>
    <t>1 week</t>
  </si>
  <si>
    <t>Schedule batch processing</t>
  </si>
  <si>
    <t>15-25%</t>
  </si>
  <si>
    <t>2 weeks</t>
  </si>
  <si>
    <t>Team</t>
  </si>
  <si>
    <t>Batch similar requests</t>
  </si>
  <si>
    <t>Use caching for common queries</t>
  </si>
  <si>
    <t>10-20%</t>
  </si>
  <si>
    <t>Optimize prompts</t>
  </si>
  <si>
    <t>10-15%</t>
  </si>
  <si>
    <t>Implement review workflow</t>
  </si>
  <si>
    <t>5-10%</t>
  </si>
  <si>
    <t>Individual</t>
  </si>
  <si>
    <t>Personal carbon budget</t>
  </si>
  <si>
    <t>Query during off-peak hours</t>
  </si>
  <si>
    <t>Use simpler models for routine</t>
  </si>
  <si>
    <t>Prompt engineering training</t>
  </si>
  <si>
    <t>GAIA FRAMEWORK DOCUMENTATION</t>
  </si>
  <si>
    <t>Quick Reference Guide</t>
  </si>
  <si>
    <t>How to Use This Tool:</t>
  </si>
  <si>
    <t>Formulas &amp; Calculations:</t>
  </si>
  <si>
    <t>1. Go to 'AI Impact Assessment' sheet</t>
  </si>
  <si>
    <t>Environmental Score = (Energy/10 + Water*50 + Carbon*2)</t>
  </si>
  <si>
    <t>2. Select your AI model from dropdown or enter custom model</t>
  </si>
  <si>
    <t>Benefit Score = Efficiency*0.4 + Quality*0.3 + Strategic*0.3</t>
  </si>
  <si>
    <t>3. Define task parameters (type, complexity, volume)</t>
  </si>
  <si>
    <t>Query Impact = Base Impact × Complexity Factor × Length Factor</t>
  </si>
  <si>
    <t>4. Enter benefit estimates (time saved, quality improvement)</t>
  </si>
  <si>
    <t>5. Review results in Dashboard and Decision Matrix</t>
  </si>
  <si>
    <t>Decision Rules:</t>
  </si>
  <si>
    <t>6. Check Weekly Monitor for ongoing tracking</t>
  </si>
  <si>
    <t>If Environmental &lt; 20 AND Benefit &gt; 80 → A+</t>
  </si>
  <si>
    <t>7. Implement strategies from Mitigation sheet</t>
  </si>
  <si>
    <t>If Environmental &lt; 35 AND Benefit &gt; 70 → A</t>
  </si>
  <si>
    <t>If Environmental &lt; 50 AND Benefit &gt; 50 → B or C</t>
  </si>
  <si>
    <t>Key Metrics Explained:</t>
  </si>
  <si>
    <t>If Environmental &gt; 70 → F (Prohibited)</t>
  </si>
  <si>
    <t>• Wh (Watt-hour): Energy unit, 1 Wh ≈ LED bulb for 6 minutes</t>
  </si>
  <si>
    <t>• L (Liter): Water consumption, 1 L ≈ 4 cups of water</t>
  </si>
  <si>
    <t>Support &amp; Resources:</t>
  </si>
  <si>
    <t>• gCO2e: Carbon emissions, 1 kg CO2 ≈ driving 4 km</t>
  </si>
  <si>
    <t>Framework Version: 1.0</t>
  </si>
  <si>
    <t>• PUE: Power Usage Effectiveness (data center efficiency)</t>
  </si>
  <si>
    <t>Last Updated: October 2025</t>
  </si>
  <si>
    <t>• WUE: Water Usage Effectiveness (cooling efficiency)</t>
  </si>
  <si>
    <t>Support Email: gaia-support@gov.example</t>
  </si>
  <si>
    <t>• CIF: Carbon Intensity Factor (grid emissions)</t>
  </si>
  <si>
    <t>Documentation: /sustainability/gaia</t>
  </si>
  <si>
    <t>Training: learn.gov/gaia</t>
  </si>
  <si>
    <t>Efficiency Grades:</t>
  </si>
  <si>
    <t>• A+: Excellent - Strongly recommended</t>
  </si>
  <si>
    <t>• A: Very Good - Recommended</t>
  </si>
  <si>
    <t>• B: Good - Recommended with monitoring</t>
  </si>
  <si>
    <t>• C: Fair - Conditional approval required</t>
  </si>
  <si>
    <t>• D: Poor - Mitigation required</t>
  </si>
  <si>
    <t>• E: Very Poor - Not recommended</t>
  </si>
  <si>
    <t>• F: Unacceptable - Prohibited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</si>
</sst>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8.0"/>
      <color rgb="FF2E7D32"/>
      <name val="Calibri"/>
      <scheme val="minor"/>
    </font>
    <font>
      <b/>
      <sz val="14.0"/>
      <color rgb="FFFFFFFF"/>
      <name val="Calibri"/>
      <scheme val="minor"/>
    </font>
    <font/>
    <font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  <scheme val="minor"/>
    </font>
    <font>
      <b/>
      <sz val="12.0"/>
      <color rgb="FFFFFFFF"/>
      <name val="Calibri"/>
      <scheme val="minor"/>
    </font>
    <font>
      <b/>
      <sz val="12.0"/>
      <color theme="1"/>
      <name val="Calibri"/>
      <scheme val="minor"/>
    </font>
    <font>
      <b/>
      <sz val="16.0"/>
      <color theme="1"/>
      <name val="Calibri"/>
      <scheme val="minor"/>
    </font>
    <font>
      <b/>
      <u/>
      <color theme="1"/>
      <name val="Calibri"/>
      <scheme val="minor"/>
    </font>
    <font>
      <b/>
      <sz val="14.0"/>
      <color rgb="FF2E7D32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FFF9C4"/>
        <bgColor rgb="FFFFF9C4"/>
      </patternFill>
    </fill>
    <fill>
      <patternFill patternType="solid">
        <fgColor rgb="FF4CAF50"/>
        <bgColor rgb="FF4CAF50"/>
      </patternFill>
    </fill>
    <fill>
      <patternFill patternType="solid">
        <fgColor rgb="FFE3F2FD"/>
        <bgColor rgb="FFE3F2FD"/>
      </patternFill>
    </fill>
    <fill>
      <patternFill patternType="solid">
        <fgColor rgb="FF1565C0"/>
        <bgColor rgb="FF1565C0"/>
      </patternFill>
    </fill>
    <fill>
      <patternFill patternType="solid">
        <fgColor rgb="FFF57C00"/>
        <bgColor rgb="FFF57C00"/>
      </patternFill>
    </fill>
    <fill>
      <patternFill patternType="solid">
        <fgColor rgb="FF1B5E20"/>
        <bgColor rgb="FF1B5E20"/>
      </patternFill>
    </fill>
    <fill>
      <patternFill patternType="solid">
        <fgColor rgb="FFC8E6C9"/>
        <bgColor rgb="FFC8E6C9"/>
      </patternFill>
    </fill>
    <fill>
      <patternFill patternType="solid">
        <fgColor rgb="FF81C784"/>
        <bgColor rgb="FF81C784"/>
      </patternFill>
    </fill>
    <fill>
      <patternFill patternType="solid">
        <fgColor rgb="FFFFE0B2"/>
        <bgColor rgb="FFFFE0B2"/>
      </patternFill>
    </fill>
    <fill>
      <patternFill patternType="solid">
        <fgColor rgb="FFFFCDD2"/>
        <bgColor rgb="FFFFCDD2"/>
      </patternFill>
    </fill>
    <fill>
      <patternFill patternType="solid">
        <fgColor rgb="FFC62828"/>
        <bgColor rgb="FFC62828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0" fontId="3" numFmtId="0" xfId="0" applyBorder="1" applyFont="1"/>
    <xf borderId="3" fillId="0" fontId="3" numFmtId="0" xfId="0" applyBorder="1" applyFont="1"/>
    <xf borderId="4" fillId="2" fontId="2" numFmtId="0" xfId="0" applyBorder="1" applyFont="1"/>
    <xf borderId="0" fillId="0" fontId="4" numFmtId="0" xfId="0" applyFont="1"/>
    <xf borderId="4" fillId="3" fontId="5" numFmtId="0" xfId="0" applyBorder="1" applyFill="1" applyFont="1"/>
    <xf borderId="4" fillId="3" fontId="6" numFmtId="0" xfId="0" applyBorder="1" applyFont="1"/>
    <xf borderId="1" fillId="4" fontId="7" numFmtId="0" xfId="0" applyBorder="1" applyFill="1" applyFont="1"/>
    <xf borderId="0" fillId="0" fontId="8" numFmtId="0" xfId="0" applyFont="1"/>
    <xf borderId="0" fillId="0" fontId="9" numFmtId="0" xfId="0" applyAlignment="1" applyFont="1">
      <alignment horizontal="center"/>
    </xf>
    <xf borderId="5" fillId="5" fontId="5" numFmtId="0" xfId="0" applyAlignment="1" applyBorder="1" applyFill="1" applyFont="1">
      <alignment readingOrder="0"/>
    </xf>
    <xf borderId="4" fillId="5" fontId="5" numFmtId="0" xfId="0" applyBorder="1" applyFont="1"/>
    <xf borderId="5" fillId="5" fontId="5" numFmtId="0" xfId="0" applyBorder="1" applyFont="1"/>
    <xf borderId="1" fillId="6" fontId="2" numFmtId="0" xfId="0" applyBorder="1" applyFill="1" applyFont="1"/>
    <xf borderId="0" fillId="0" fontId="10" numFmtId="0" xfId="0" applyFont="1"/>
    <xf borderId="1" fillId="7" fontId="2" numFmtId="0" xfId="0" applyBorder="1" applyFill="1" applyFont="1"/>
    <xf borderId="4" fillId="3" fontId="8" numFmtId="0" xfId="0" applyBorder="1" applyFont="1"/>
    <xf borderId="0" fillId="0" fontId="11" numFmtId="0" xfId="0" applyFont="1"/>
    <xf borderId="6" fillId="0" fontId="6" numFmtId="0" xfId="0" applyBorder="1" applyFont="1"/>
    <xf borderId="1" fillId="2" fontId="2" numFmtId="0" xfId="0" applyAlignment="1" applyBorder="1" applyFont="1">
      <alignment horizontal="center"/>
    </xf>
    <xf borderId="4" fillId="4" fontId="7" numFmtId="0" xfId="0" applyBorder="1" applyFont="1"/>
    <xf borderId="4" fillId="4" fontId="12" numFmtId="0" xfId="0" applyBorder="1" applyFont="1"/>
    <xf borderId="4" fillId="8" fontId="5" numFmtId="0" xfId="0" applyBorder="1" applyFill="1" applyFont="1"/>
    <xf borderId="4" fillId="9" fontId="5" numFmtId="0" xfId="0" applyBorder="1" applyFill="1" applyFont="1"/>
    <xf borderId="4" fillId="10" fontId="5" numFmtId="0" xfId="0" applyBorder="1" applyFill="1" applyFont="1"/>
    <xf borderId="4" fillId="11" fontId="5" numFmtId="0" xfId="0" applyBorder="1" applyFill="1" applyFont="1"/>
    <xf borderId="0" fillId="0" fontId="13" numFmtId="0" xfId="0" applyFont="1"/>
    <xf borderId="4" fillId="12" fontId="5" numFmtId="0" xfId="0" applyBorder="1" applyFill="1" applyFont="1"/>
    <xf borderId="0" fillId="0" fontId="9" numFmtId="0" xfId="0" applyFont="1"/>
    <xf borderId="4" fillId="13" fontId="5" numFmtId="0" xfId="0" applyBorder="1" applyFill="1" applyFont="1"/>
    <xf borderId="1" fillId="4" fontId="12" numFmtId="0" xfId="0" applyAlignment="1" applyBorder="1" applyFont="1">
      <alignment horizontal="center"/>
    </xf>
    <xf borderId="4" fillId="3" fontId="13" numFmtId="0" xfId="0" applyBorder="1" applyFont="1"/>
    <xf borderId="1" fillId="7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40.0"/>
    <col customWidth="1" min="3" max="3" width="2.0"/>
    <col customWidth="1" min="4" max="4" width="23.0"/>
    <col customWidth="1" min="5" max="5" width="36.0"/>
    <col customWidth="1" min="6" max="6" width="2.0"/>
    <col customWidth="1" min="7" max="7" width="29.0"/>
    <col customWidth="1" min="8" max="26" width="8.71"/>
  </cols>
  <sheetData>
    <row r="1">
      <c r="A1" s="1" t="s">
        <v>0</v>
      </c>
    </row>
    <row r="3">
      <c r="A3" s="2" t="s">
        <v>1</v>
      </c>
      <c r="B3" s="3"/>
      <c r="C3" s="3"/>
      <c r="D3" s="3"/>
      <c r="E3" s="4"/>
      <c r="G3" s="5" t="s">
        <v>2</v>
      </c>
    </row>
    <row r="5">
      <c r="A5" s="6" t="s">
        <v>3</v>
      </c>
      <c r="B5" s="7" t="str">
        <f>'AI Impact Assessment'!B5</f>
        <v>o3</v>
      </c>
      <c r="D5" s="6" t="s">
        <v>4</v>
      </c>
      <c r="E5" s="8" t="str">
        <f>'AI Impact Assessment'!G31</f>
        <v>F</v>
      </c>
    </row>
    <row r="6">
      <c r="A6" s="6" t="s">
        <v>5</v>
      </c>
      <c r="B6" s="7">
        <f>'AI Impact Assessment'!B12</f>
        <v>10000</v>
      </c>
      <c r="D6" s="6" t="s">
        <v>6</v>
      </c>
      <c r="E6" s="7">
        <f>'AI Impact Assessment'!C26</f>
        <v>75.55</v>
      </c>
    </row>
    <row r="7">
      <c r="A7" s="6" t="s">
        <v>7</v>
      </c>
      <c r="B7" s="7">
        <f>'AI Impact Assessment'!C31</f>
        <v>100</v>
      </c>
      <c r="D7" s="6" t="s">
        <v>8</v>
      </c>
      <c r="E7" s="7">
        <f>('AI Impact Assessment'!C25)*1000</f>
        <v>760</v>
      </c>
    </row>
    <row r="8">
      <c r="A8" s="6" t="s">
        <v>9</v>
      </c>
      <c r="B8" s="7">
        <f>'AI Impact Assessment'!C32</f>
        <v>71</v>
      </c>
      <c r="D8" s="6" t="s">
        <v>10</v>
      </c>
      <c r="E8" s="7">
        <f>'AI Impact Assessment'!C24</f>
        <v>214.14</v>
      </c>
    </row>
    <row r="11">
      <c r="A11" s="9" t="s">
        <v>11</v>
      </c>
      <c r="B11" s="3"/>
      <c r="C11" s="3"/>
      <c r="D11" s="3"/>
      <c r="E11" s="4"/>
    </row>
    <row r="13">
      <c r="A13" s="6" t="s">
        <v>12</v>
      </c>
      <c r="B13" s="10" t="str">
        <f>IF(B7&gt;70,"⚠️ HIGH",IF(B7&gt;50,"⚡ MEDIUM","✅ LOW"))</f>
        <v>⚠️ HIGH</v>
      </c>
    </row>
    <row r="14">
      <c r="A14" s="6" t="s">
        <v>13</v>
      </c>
      <c r="B14" s="6" t="str">
        <f>IF(B7&gt;70,"Switch to efficient model immediately",IF(B7&gt;50,"Implement mitigation strategies","Continue with monitoring"))</f>
        <v>Switch to efficient model immediately</v>
      </c>
    </row>
    <row r="15">
      <c r="A15" s="6" t="s">
        <v>14</v>
      </c>
      <c r="B15" s="6" t="str">
        <f>IF(B5="DeepSeek-R1","Up to 90% reduction possible",IF(B7&gt;50,"30-50% reduction achievable","Already optimized"))</f>
        <v>30-50% reduction achievable</v>
      </c>
    </row>
    <row r="18">
      <c r="A18" s="2" t="s">
        <v>15</v>
      </c>
      <c r="B18" s="3"/>
      <c r="C18" s="3"/>
      <c r="D18" s="3"/>
      <c r="E18" s="3"/>
      <c r="F18" s="3"/>
      <c r="G1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E3"/>
    <mergeCell ref="A11:E11"/>
    <mergeCell ref="A18:G18"/>
  </mergeCells>
  <conditionalFormatting sqref="B7">
    <cfRule type="colorScale" priority="1">
      <colorScale>
        <cfvo type="min"/>
        <cfvo type="percentile" val="50"/>
        <cfvo type="max"/>
        <color rgb="FFC8E6C9"/>
        <color rgb="FFFFF9C4"/>
        <color rgb="FFFFCDD2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9.0"/>
    <col customWidth="1" min="3" max="4" width="27.0"/>
    <col customWidth="1" min="5" max="5" width="28.0"/>
    <col customWidth="1" min="6" max="6" width="2.0"/>
    <col customWidth="1" min="7" max="7" width="26.0"/>
    <col customWidth="1" min="8" max="26" width="8.71"/>
  </cols>
  <sheetData>
    <row r="1">
      <c r="A1" s="11" t="s">
        <v>16</v>
      </c>
    </row>
    <row r="3">
      <c r="A3" s="2" t="s">
        <v>17</v>
      </c>
      <c r="B3" s="3"/>
      <c r="C3" s="3"/>
      <c r="D3" s="4"/>
      <c r="E3" s="2" t="s">
        <v>18</v>
      </c>
      <c r="F3" s="3"/>
      <c r="G3" s="4"/>
    </row>
    <row r="5">
      <c r="A5" s="6" t="s">
        <v>19</v>
      </c>
      <c r="B5" s="12" t="s">
        <v>20</v>
      </c>
      <c r="E5" s="6" t="s">
        <v>21</v>
      </c>
      <c r="G5" s="13">
        <v>200.0</v>
      </c>
    </row>
    <row r="6">
      <c r="A6" s="6" t="s">
        <v>22</v>
      </c>
      <c r="C6" s="14"/>
      <c r="E6" s="6" t="s">
        <v>23</v>
      </c>
      <c r="G6" s="13">
        <v>30.0</v>
      </c>
    </row>
    <row r="7">
      <c r="E7" s="6" t="s">
        <v>24</v>
      </c>
      <c r="G7" s="13">
        <v>8.0</v>
      </c>
    </row>
    <row r="8">
      <c r="A8" s="2" t="s">
        <v>25</v>
      </c>
      <c r="B8" s="3"/>
      <c r="C8" s="3"/>
      <c r="D8" s="4"/>
      <c r="E8" s="6" t="s">
        <v>26</v>
      </c>
      <c r="G8" s="13">
        <v>25.0</v>
      </c>
    </row>
    <row r="9">
      <c r="E9" s="6" t="s">
        <v>27</v>
      </c>
      <c r="G9" s="13">
        <v>7.0</v>
      </c>
    </row>
    <row r="10">
      <c r="A10" s="6" t="s">
        <v>28</v>
      </c>
      <c r="B10" s="13" t="s">
        <v>29</v>
      </c>
    </row>
    <row r="11">
      <c r="A11" s="6" t="s">
        <v>30</v>
      </c>
      <c r="B11" s="13" t="s">
        <v>31</v>
      </c>
    </row>
    <row r="12">
      <c r="A12" s="6" t="s">
        <v>32</v>
      </c>
      <c r="B12" s="13">
        <v>10000.0</v>
      </c>
    </row>
    <row r="13">
      <c r="A13" s="6" t="s">
        <v>33</v>
      </c>
      <c r="B13" s="13" t="s">
        <v>34</v>
      </c>
    </row>
    <row r="14">
      <c r="A14" s="6" t="s">
        <v>35</v>
      </c>
      <c r="B14" s="13">
        <v>1000.0</v>
      </c>
    </row>
    <row r="16">
      <c r="A16" s="15" t="s">
        <v>36</v>
      </c>
      <c r="B16" s="3"/>
      <c r="C16" s="3"/>
      <c r="D16" s="3"/>
      <c r="E16" s="3"/>
      <c r="F16" s="3"/>
      <c r="G16" s="4"/>
    </row>
    <row r="18">
      <c r="A18" s="9" t="s">
        <v>37</v>
      </c>
      <c r="B18" s="3"/>
      <c r="C18" s="3"/>
      <c r="D18" s="4"/>
      <c r="E18" s="9" t="s">
        <v>38</v>
      </c>
      <c r="F18" s="3"/>
      <c r="G18" s="4"/>
    </row>
    <row r="19">
      <c r="A19" s="6" t="s">
        <v>39</v>
      </c>
      <c r="C19" s="7">
        <f>'Calculation Engine'!D5</f>
        <v>21.414</v>
      </c>
      <c r="E19" s="6" t="s">
        <v>40</v>
      </c>
      <c r="G19" s="7">
        <f>'Calculation Engine'!H5</f>
        <v>80</v>
      </c>
    </row>
    <row r="20">
      <c r="A20" s="6" t="s">
        <v>41</v>
      </c>
      <c r="C20" s="7">
        <f>'Calculation Engine'!D6</f>
        <v>0.076</v>
      </c>
      <c r="E20" s="6" t="s">
        <v>42</v>
      </c>
      <c r="G20" s="7">
        <f>'Calculation Engine'!H6</f>
        <v>55</v>
      </c>
    </row>
    <row r="21" ht="15.75" customHeight="1">
      <c r="A21" s="6" t="s">
        <v>43</v>
      </c>
      <c r="C21" s="7">
        <f>'Calculation Engine'!D7</f>
        <v>7.555</v>
      </c>
      <c r="E21" s="6" t="s">
        <v>44</v>
      </c>
      <c r="G21" s="7">
        <f>'Calculation Engine'!H7</f>
        <v>75</v>
      </c>
    </row>
    <row r="22" ht="15.75" customHeight="1"/>
    <row r="23" ht="15.75" customHeight="1">
      <c r="A23" s="16" t="s">
        <v>45</v>
      </c>
    </row>
    <row r="24" ht="15.75" customHeight="1">
      <c r="A24" s="6" t="s">
        <v>46</v>
      </c>
      <c r="C24" s="7">
        <f>'Calculation Engine'!D10</f>
        <v>214.14</v>
      </c>
      <c r="D24" s="6" t="str">
        <f>'Calculation Engine'!E10</f>
        <v>≈ 1285 hours of LED lighting</v>
      </c>
    </row>
    <row r="25" ht="15.75" customHeight="1">
      <c r="A25" s="6" t="s">
        <v>47</v>
      </c>
      <c r="C25" s="7">
        <f>'Calculation Engine'!D11</f>
        <v>0.76</v>
      </c>
      <c r="D25" s="6" t="str">
        <f>'Calculation Engine'!E11</f>
        <v>≈ 3040 cups of drinking water</v>
      </c>
    </row>
    <row r="26" ht="15.75" customHeight="1">
      <c r="A26" s="6" t="s">
        <v>48</v>
      </c>
      <c r="C26" s="7">
        <f>'Calculation Engine'!D12</f>
        <v>75.55</v>
      </c>
      <c r="D26" s="6" t="str">
        <f>'Calculation Engine'!E12</f>
        <v>≈ Driving 302 km in a car</v>
      </c>
    </row>
    <row r="27" ht="15.75" customHeight="1"/>
    <row r="28" ht="15.75" customHeight="1"/>
    <row r="29" ht="15.75" customHeight="1">
      <c r="A29" s="17" t="s">
        <v>49</v>
      </c>
      <c r="B29" s="3"/>
      <c r="C29" s="3"/>
      <c r="D29" s="3"/>
      <c r="E29" s="3"/>
      <c r="F29" s="3"/>
      <c r="G29" s="4"/>
    </row>
    <row r="30" ht="15.75" customHeight="1"/>
    <row r="31" ht="15.75" customHeight="1">
      <c r="A31" s="6" t="s">
        <v>50</v>
      </c>
      <c r="C31" s="18">
        <f>'Calculation Engine'!D15</f>
        <v>100</v>
      </c>
      <c r="E31" s="19" t="s">
        <v>51</v>
      </c>
      <c r="G31" s="20" t="str">
        <f>'Decision Matrix'!E10</f>
        <v>F</v>
      </c>
    </row>
    <row r="32" ht="15.75" customHeight="1">
      <c r="A32" s="6" t="s">
        <v>9</v>
      </c>
      <c r="C32" s="18">
        <f>'Calculation Engine'!H15</f>
        <v>71</v>
      </c>
      <c r="E32" s="6" t="s">
        <v>52</v>
      </c>
      <c r="G32" s="6" t="str">
        <f>'Decision Matrix'!F10</f>
        <v>Prohibited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3:D23"/>
    <mergeCell ref="A29:G29"/>
    <mergeCell ref="A1:G1"/>
    <mergeCell ref="A3:D3"/>
    <mergeCell ref="E3:G3"/>
    <mergeCell ref="A8:D8"/>
    <mergeCell ref="A16:G16"/>
    <mergeCell ref="A18:D18"/>
    <mergeCell ref="E18:G18"/>
  </mergeCells>
  <dataValidations>
    <dataValidation type="list" allowBlank="1" sqref="B11">
      <formula1>"Simple,Medium,Complex"</formula1>
    </dataValidation>
    <dataValidation type="list" allowBlank="1" sqref="B10">
      <formula1>"Document Analysis,Code Generation,Translation,Creative Writing,Data Analysis,Customer Service,Research,Custom"</formula1>
    </dataValidation>
    <dataValidation type="list" allowBlank="1" sqref="B13">
      <formula1>"Low,Medium,High,Critical"</formula1>
    </dataValidation>
    <dataValidation type="list" allowBlank="1" sqref="B5">
      <formula1>"GPT-4.1 nano,GPT-4o mini,GPT-4o,GPT-4 Turbo,o1-mini,o1,o3-mini,o3,Claude-3.5 Haiku,Claude-3.5 Sonnet,Claude-3.7 Sonnet,LLaMA-3.1-8B,LLaMA-3.1-70B,LLaMA-3.1-405B,DeepSeek-V3,DeepSeek-R1"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40.0"/>
    <col customWidth="1" min="3" max="3" width="2.0"/>
    <col customWidth="1" min="4" max="5" width="40.0"/>
    <col customWidth="1" min="6" max="7" width="2.0"/>
    <col customWidth="1" min="8" max="8" width="40.0"/>
    <col customWidth="1" min="9" max="9" width="15.0"/>
    <col customWidth="1" min="10" max="26" width="8.71"/>
  </cols>
  <sheetData>
    <row r="1">
      <c r="A1" s="21" t="s">
        <v>53</v>
      </c>
      <c r="B1" s="3"/>
      <c r="C1" s="3"/>
      <c r="D1" s="3"/>
      <c r="E1" s="3"/>
      <c r="F1" s="3"/>
      <c r="G1" s="3"/>
      <c r="H1" s="4"/>
    </row>
    <row r="3">
      <c r="A3" s="22" t="s">
        <v>54</v>
      </c>
      <c r="D3" s="22" t="s">
        <v>55</v>
      </c>
      <c r="H3" s="22" t="s">
        <v>56</v>
      </c>
    </row>
    <row r="5">
      <c r="A5" s="6" t="s">
        <v>57</v>
      </c>
      <c r="B5" s="6" t="str">
        <f>IF(LEN('AI Impact Assessment'!C6)&gt;0,'AI Impact Assessment'!C6,'AI Impact Assessment'!B5)</f>
        <v>o3</v>
      </c>
      <c r="D5" s="6">
        <f>VLOOKUP(B5,'Reference Data'!A:C,2,FALSE)*IF(B7="Simple",0.5,IF(B7="Medium",1,2))*(B8/1000)</f>
        <v>21.414</v>
      </c>
      <c r="E5" s="6" t="s">
        <v>58</v>
      </c>
      <c r="H5" s="6">
        <f>MIN(100,'AI Impact Assessment'!G5/10*4)</f>
        <v>80</v>
      </c>
      <c r="I5" s="6" t="s">
        <v>59</v>
      </c>
    </row>
    <row r="6">
      <c r="A6" s="6" t="s">
        <v>5</v>
      </c>
      <c r="B6" s="6">
        <f>'AI Impact Assessment'!B12</f>
        <v>10000</v>
      </c>
      <c r="D6" s="6">
        <f>VLOOKUP(B5,'Reference Data'!A:D,3,FALSE)*IF(B7="Simple",0.5,IF(B7="Medium",1,2))*(B8/1000)</f>
        <v>0.076</v>
      </c>
      <c r="E6" s="6" t="s">
        <v>60</v>
      </c>
      <c r="H6" s="6">
        <f>MIN(100,('AI Impact Assessment'!G6+'AI Impact Assessment'!G8)/2*2)</f>
        <v>55</v>
      </c>
      <c r="I6" s="6" t="s">
        <v>61</v>
      </c>
    </row>
    <row r="7">
      <c r="A7" s="6" t="s">
        <v>30</v>
      </c>
      <c r="B7" s="6" t="str">
        <f>'AI Impact Assessment'!B11</f>
        <v>Medium</v>
      </c>
      <c r="D7" s="6">
        <f>VLOOKUP(B5,'Reference Data'!A:E,4,FALSE)*IF(B7="Simple",0.5,IF(B7="Medium",1,2))*(B8/1000)</f>
        <v>7.555</v>
      </c>
      <c r="E7" s="6" t="s">
        <v>62</v>
      </c>
      <c r="H7" s="6">
        <f>('AI Impact Assessment'!G7+'AI Impact Assessment'!G9)/2*10</f>
        <v>75</v>
      </c>
      <c r="I7" s="6" t="s">
        <v>63</v>
      </c>
    </row>
    <row r="8">
      <c r="A8" s="6" t="s">
        <v>64</v>
      </c>
      <c r="B8" s="6">
        <f>'AI Impact Assessment'!B14</f>
        <v>1000</v>
      </c>
    </row>
    <row r="9">
      <c r="D9" s="22" t="s">
        <v>65</v>
      </c>
    </row>
    <row r="10">
      <c r="D10" s="6">
        <f>D5*B6/1000</f>
        <v>214.14</v>
      </c>
      <c r="E10" s="6" t="str">
        <f>"≈ "&amp;ROUND(D10*6,0)&amp;" hours of LED lighting"</f>
        <v>≈ 1285 hours of LED lighting</v>
      </c>
    </row>
    <row r="11">
      <c r="D11" s="6">
        <f>D6*B6/1000</f>
        <v>0.76</v>
      </c>
      <c r="E11" s="6" t="str">
        <f>"≈ "&amp;ROUND(D11*4000,0)&amp;" cups of drinking water"</f>
        <v>≈ 3040 cups of drinking water</v>
      </c>
    </row>
    <row r="12">
      <c r="D12" s="6">
        <f>D7*B6/1000</f>
        <v>75.55</v>
      </c>
      <c r="E12" s="6" t="str">
        <f>"≈ Driving "&amp;ROUND(D12*4,0)&amp;" km in a car"</f>
        <v>≈ Driving 302 km in a car</v>
      </c>
    </row>
    <row r="14">
      <c r="D14" s="22" t="s">
        <v>66</v>
      </c>
      <c r="H14" s="22" t="s">
        <v>67</v>
      </c>
    </row>
    <row r="15">
      <c r="D15" s="6">
        <f>MIN(100,(D10/10+D11*50+D12*2))</f>
        <v>100</v>
      </c>
      <c r="E15" s="6" t="s">
        <v>68</v>
      </c>
      <c r="H15" s="6">
        <f>H5*0.4+H6*0.3+H7*0.3</f>
        <v>71</v>
      </c>
      <c r="I15" s="6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3" width="27.0"/>
    <col customWidth="1" min="4" max="4" width="13.0"/>
    <col customWidth="1" min="5" max="5" width="40.0"/>
    <col customWidth="1" min="6" max="6" width="34.0"/>
    <col customWidth="1" min="7" max="26" width="8.71"/>
  </cols>
  <sheetData>
    <row r="1">
      <c r="A1" s="21" t="s">
        <v>70</v>
      </c>
      <c r="B1" s="3"/>
      <c r="C1" s="3"/>
      <c r="D1" s="3"/>
      <c r="E1" s="3"/>
      <c r="F1" s="4"/>
    </row>
    <row r="3">
      <c r="A3" s="9" t="s">
        <v>71</v>
      </c>
      <c r="B3" s="3"/>
      <c r="C3" s="3"/>
      <c r="D3" s="3"/>
      <c r="E3" s="3"/>
      <c r="F3" s="4"/>
    </row>
    <row r="4">
      <c r="A4" s="23" t="s">
        <v>72</v>
      </c>
      <c r="B4" s="23" t="s">
        <v>73</v>
      </c>
      <c r="C4" s="23" t="s">
        <v>69</v>
      </c>
      <c r="D4" s="23" t="s">
        <v>74</v>
      </c>
      <c r="E4" s="23" t="s">
        <v>75</v>
      </c>
      <c r="F4" s="23" t="s">
        <v>76</v>
      </c>
    </row>
    <row r="5">
      <c r="A5" s="6" t="s">
        <v>77</v>
      </c>
      <c r="B5" s="6" t="s">
        <v>78</v>
      </c>
      <c r="C5" s="6" t="s">
        <v>79</v>
      </c>
      <c r="D5" s="24" t="s">
        <v>80</v>
      </c>
      <c r="E5" s="6" t="s">
        <v>81</v>
      </c>
      <c r="F5" s="6" t="s">
        <v>82</v>
      </c>
    </row>
    <row r="6">
      <c r="A6" s="6" t="s">
        <v>83</v>
      </c>
      <c r="B6" s="6" t="s">
        <v>84</v>
      </c>
      <c r="C6" s="6" t="s">
        <v>85</v>
      </c>
      <c r="D6" s="25" t="s">
        <v>86</v>
      </c>
      <c r="E6" s="6" t="s">
        <v>87</v>
      </c>
      <c r="F6" s="6" t="s">
        <v>88</v>
      </c>
    </row>
    <row r="7">
      <c r="A7" s="6" t="s">
        <v>89</v>
      </c>
      <c r="B7" s="6" t="s">
        <v>90</v>
      </c>
      <c r="C7" s="6" t="s">
        <v>85</v>
      </c>
      <c r="D7" s="26" t="s">
        <v>91</v>
      </c>
      <c r="E7" s="6" t="s">
        <v>92</v>
      </c>
      <c r="F7" s="6" t="s">
        <v>93</v>
      </c>
    </row>
    <row r="8">
      <c r="A8" s="6" t="s">
        <v>94</v>
      </c>
      <c r="B8" s="6" t="s">
        <v>90</v>
      </c>
      <c r="C8" s="6" t="s">
        <v>95</v>
      </c>
      <c r="D8" s="7" t="s">
        <v>96</v>
      </c>
      <c r="E8" s="6" t="s">
        <v>97</v>
      </c>
      <c r="F8" s="6" t="s">
        <v>98</v>
      </c>
    </row>
    <row r="9">
      <c r="A9" s="6" t="s">
        <v>99</v>
      </c>
      <c r="B9" s="6" t="s">
        <v>95</v>
      </c>
      <c r="C9" s="6" t="s">
        <v>95</v>
      </c>
      <c r="D9" s="27" t="s">
        <v>100</v>
      </c>
      <c r="E9" s="6" t="s">
        <v>101</v>
      </c>
      <c r="F9" s="6" t="s">
        <v>102</v>
      </c>
    </row>
    <row r="10">
      <c r="A10" s="28" t="s">
        <v>103</v>
      </c>
      <c r="B10" s="6">
        <f>'Calculation Engine'!D15</f>
        <v>100</v>
      </c>
      <c r="C10" s="6">
        <f>'Calculation Engine'!H15</f>
        <v>71</v>
      </c>
      <c r="D10" s="29" t="s">
        <v>104</v>
      </c>
      <c r="E10" s="30" t="str">
        <f>IF(B10&lt;20,IF(C10&gt;80,"A+",IF(C10&gt;70,"A","B")),IF(B10&lt;35,IF(C10&gt;70,"A",IF(C10&gt;60,"B","C")),IF(B10&lt;50,IF(C10&gt;70,"B",IF(C10&gt;50,"C","D")),IF(B10&lt;70,IF(C10&gt;50,"D","E"),"F"))))</f>
        <v>F</v>
      </c>
      <c r="F10" s="6" t="str">
        <f>VLOOKUP(E10,A5:F11,5,FALSE)</f>
        <v>Prohibited</v>
      </c>
    </row>
    <row r="11">
      <c r="A11" s="6" t="s">
        <v>105</v>
      </c>
      <c r="B11" s="6" t="s">
        <v>106</v>
      </c>
      <c r="C11" s="6" t="s">
        <v>107</v>
      </c>
      <c r="D11" s="31" t="s">
        <v>108</v>
      </c>
      <c r="E11" s="6" t="s">
        <v>109</v>
      </c>
      <c r="F11" s="6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3:F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.0"/>
    <col customWidth="1" min="3" max="3" width="9.0"/>
    <col customWidth="1" min="4" max="4" width="14.0"/>
    <col customWidth="1" min="5" max="5" width="11.0"/>
    <col customWidth="1" min="6" max="6" width="10.0"/>
    <col customWidth="1" min="7" max="7" width="12.0"/>
    <col customWidth="1" min="8" max="8" width="2.0"/>
    <col customWidth="1" min="9" max="9" width="27.0"/>
    <col customWidth="1" min="10" max="11" width="6.0"/>
    <col customWidth="1" min="12" max="12" width="7.0"/>
    <col customWidth="1" min="13" max="26" width="8.71"/>
  </cols>
  <sheetData>
    <row r="1">
      <c r="A1" s="32" t="s">
        <v>111</v>
      </c>
      <c r="B1" s="3"/>
      <c r="C1" s="3"/>
      <c r="D1" s="3"/>
      <c r="E1" s="3"/>
      <c r="F1" s="3"/>
      <c r="G1" s="4"/>
      <c r="I1" s="2" t="s">
        <v>112</v>
      </c>
      <c r="J1" s="3"/>
      <c r="K1" s="3"/>
      <c r="L1" s="4"/>
    </row>
    <row r="2">
      <c r="A2" s="6" t="s">
        <v>113</v>
      </c>
      <c r="B2" s="6" t="s">
        <v>114</v>
      </c>
      <c r="C2" s="6" t="s">
        <v>115</v>
      </c>
      <c r="D2" s="6" t="s">
        <v>116</v>
      </c>
      <c r="E2" s="6" t="s">
        <v>117</v>
      </c>
      <c r="F2" s="6" t="s">
        <v>118</v>
      </c>
      <c r="G2" s="6" t="s">
        <v>119</v>
      </c>
    </row>
    <row r="3">
      <c r="A3" s="6" t="s">
        <v>120</v>
      </c>
      <c r="B3" s="6">
        <v>0.271</v>
      </c>
      <c r="C3" s="6">
        <v>0.002</v>
      </c>
      <c r="D3" s="6">
        <v>0.096</v>
      </c>
      <c r="E3" s="6" t="s">
        <v>121</v>
      </c>
      <c r="F3" s="6" t="s">
        <v>122</v>
      </c>
      <c r="G3" s="6" t="s">
        <v>123</v>
      </c>
      <c r="I3" s="23" t="s">
        <v>117</v>
      </c>
      <c r="J3" s="23" t="s">
        <v>124</v>
      </c>
      <c r="K3" s="23" t="s">
        <v>125</v>
      </c>
      <c r="L3" s="23" t="s">
        <v>126</v>
      </c>
    </row>
    <row r="4">
      <c r="A4" s="6" t="s">
        <v>127</v>
      </c>
      <c r="B4" s="6">
        <v>1.418</v>
      </c>
      <c r="C4" s="6">
        <v>0.005</v>
      </c>
      <c r="D4" s="6">
        <v>0.5</v>
      </c>
      <c r="E4" s="6" t="s">
        <v>121</v>
      </c>
      <c r="F4" s="6" t="s">
        <v>128</v>
      </c>
      <c r="G4" s="6" t="s">
        <v>31</v>
      </c>
      <c r="I4" s="6" t="s">
        <v>129</v>
      </c>
      <c r="J4" s="6">
        <v>1.12</v>
      </c>
      <c r="K4" s="6">
        <v>0.3</v>
      </c>
      <c r="L4" s="6">
        <v>0.353</v>
      </c>
    </row>
    <row r="5">
      <c r="A5" s="6" t="s">
        <v>130</v>
      </c>
      <c r="B5" s="6">
        <v>1.214</v>
      </c>
      <c r="C5" s="6">
        <v>0.004</v>
      </c>
      <c r="D5" s="6">
        <v>0.428</v>
      </c>
      <c r="E5" s="6" t="s">
        <v>121</v>
      </c>
      <c r="F5" s="6" t="s">
        <v>131</v>
      </c>
      <c r="G5" s="6" t="s">
        <v>132</v>
      </c>
      <c r="I5" s="6" t="s">
        <v>133</v>
      </c>
      <c r="J5" s="6">
        <v>1.14</v>
      </c>
      <c r="K5" s="6">
        <v>0.18</v>
      </c>
      <c r="L5" s="6">
        <v>0.385</v>
      </c>
    </row>
    <row r="6">
      <c r="A6" s="6" t="s">
        <v>134</v>
      </c>
      <c r="B6" s="6">
        <v>6.758</v>
      </c>
      <c r="C6" s="6">
        <v>0.024</v>
      </c>
      <c r="D6" s="6">
        <v>2.382</v>
      </c>
      <c r="E6" s="6" t="s">
        <v>121</v>
      </c>
      <c r="F6" s="6" t="s">
        <v>128</v>
      </c>
      <c r="G6" s="6" t="s">
        <v>132</v>
      </c>
      <c r="I6" s="6" t="s">
        <v>135</v>
      </c>
      <c r="J6" s="6">
        <v>1.14</v>
      </c>
      <c r="K6" s="6">
        <v>0.18</v>
      </c>
      <c r="L6" s="6">
        <v>0.385</v>
      </c>
    </row>
    <row r="7">
      <c r="A7" s="6" t="s">
        <v>136</v>
      </c>
      <c r="B7" s="6">
        <v>1.598</v>
      </c>
      <c r="C7" s="6">
        <v>0.006</v>
      </c>
      <c r="D7" s="6">
        <v>0.564</v>
      </c>
      <c r="E7" s="6" t="s">
        <v>121</v>
      </c>
      <c r="F7" s="6" t="s">
        <v>131</v>
      </c>
      <c r="G7" s="6" t="s">
        <v>31</v>
      </c>
      <c r="I7" s="6" t="s">
        <v>137</v>
      </c>
      <c r="J7" s="6">
        <v>1.27</v>
      </c>
      <c r="K7" s="6">
        <v>1.2</v>
      </c>
      <c r="L7" s="6">
        <v>0.6</v>
      </c>
    </row>
    <row r="8">
      <c r="A8" s="6" t="s">
        <v>138</v>
      </c>
      <c r="B8" s="6">
        <v>12.1</v>
      </c>
      <c r="C8" s="6">
        <v>0.043</v>
      </c>
      <c r="D8" s="6">
        <v>4.269</v>
      </c>
      <c r="E8" s="6" t="s">
        <v>121</v>
      </c>
      <c r="F8" s="6" t="s">
        <v>131</v>
      </c>
      <c r="G8" s="6" t="s">
        <v>132</v>
      </c>
    </row>
    <row r="9">
      <c r="A9" s="6" t="s">
        <v>139</v>
      </c>
      <c r="B9" s="6">
        <v>2.447</v>
      </c>
      <c r="C9" s="6">
        <v>0.009</v>
      </c>
      <c r="D9" s="6">
        <v>0.863</v>
      </c>
      <c r="E9" s="6" t="s">
        <v>121</v>
      </c>
      <c r="F9" s="6" t="s">
        <v>131</v>
      </c>
      <c r="G9" s="6" t="s">
        <v>31</v>
      </c>
    </row>
    <row r="10">
      <c r="A10" s="6" t="s">
        <v>20</v>
      </c>
      <c r="B10" s="6">
        <v>21.414</v>
      </c>
      <c r="C10" s="6">
        <v>0.076</v>
      </c>
      <c r="D10" s="6">
        <v>7.555</v>
      </c>
      <c r="E10" s="6" t="s">
        <v>121</v>
      </c>
      <c r="F10" s="6" t="s">
        <v>131</v>
      </c>
      <c r="G10" s="6" t="s">
        <v>132</v>
      </c>
    </row>
    <row r="11">
      <c r="A11" s="6" t="s">
        <v>140</v>
      </c>
      <c r="B11" s="6">
        <v>0.5</v>
      </c>
      <c r="C11" s="6">
        <v>0.001</v>
      </c>
      <c r="D11" s="6">
        <v>0.193</v>
      </c>
      <c r="E11" s="6" t="s">
        <v>141</v>
      </c>
      <c r="F11" s="6" t="s">
        <v>131</v>
      </c>
      <c r="G11" s="6" t="s">
        <v>123</v>
      </c>
    </row>
    <row r="12">
      <c r="A12" s="6" t="s">
        <v>142</v>
      </c>
      <c r="B12" s="6">
        <v>2.0</v>
      </c>
      <c r="C12" s="6">
        <v>0.004</v>
      </c>
      <c r="D12" s="6">
        <v>0.77</v>
      </c>
      <c r="E12" s="6" t="s">
        <v>141</v>
      </c>
      <c r="F12" s="6" t="s">
        <v>131</v>
      </c>
      <c r="G12" s="6" t="s">
        <v>31</v>
      </c>
    </row>
    <row r="13">
      <c r="A13" s="6" t="s">
        <v>143</v>
      </c>
      <c r="B13" s="6">
        <v>2.781</v>
      </c>
      <c r="C13" s="6">
        <v>0.006</v>
      </c>
      <c r="D13" s="6">
        <v>1.072</v>
      </c>
      <c r="E13" s="6" t="s">
        <v>141</v>
      </c>
      <c r="F13" s="6" t="s">
        <v>122</v>
      </c>
      <c r="G13" s="6" t="s">
        <v>132</v>
      </c>
    </row>
    <row r="14">
      <c r="A14" s="6" t="s">
        <v>144</v>
      </c>
      <c r="B14" s="6">
        <v>0.329</v>
      </c>
      <c r="C14" s="6">
        <v>0.001</v>
      </c>
      <c r="D14" s="6">
        <v>0.127</v>
      </c>
      <c r="E14" s="6" t="s">
        <v>145</v>
      </c>
      <c r="F14" s="6" t="s">
        <v>131</v>
      </c>
      <c r="G14" s="6" t="s">
        <v>123</v>
      </c>
    </row>
    <row r="15">
      <c r="A15" s="6" t="s">
        <v>146</v>
      </c>
      <c r="B15" s="6">
        <v>3.558</v>
      </c>
      <c r="C15" s="6">
        <v>0.007</v>
      </c>
      <c r="D15" s="6">
        <v>1.37</v>
      </c>
      <c r="E15" s="6" t="s">
        <v>145</v>
      </c>
      <c r="F15" s="6" t="s">
        <v>131</v>
      </c>
      <c r="G15" s="6" t="s">
        <v>31</v>
      </c>
    </row>
    <row r="16">
      <c r="A16" s="6" t="s">
        <v>147</v>
      </c>
      <c r="B16" s="6">
        <v>6.911</v>
      </c>
      <c r="C16" s="6">
        <v>0.014</v>
      </c>
      <c r="D16" s="6">
        <v>2.661</v>
      </c>
      <c r="E16" s="6" t="s">
        <v>145</v>
      </c>
      <c r="F16" s="6" t="s">
        <v>131</v>
      </c>
      <c r="G16" s="6" t="s">
        <v>132</v>
      </c>
    </row>
    <row r="17">
      <c r="A17" s="6" t="s">
        <v>148</v>
      </c>
      <c r="B17" s="6">
        <v>9.129</v>
      </c>
      <c r="C17" s="6">
        <v>0.155</v>
      </c>
      <c r="D17" s="6">
        <v>5.477</v>
      </c>
      <c r="E17" s="6" t="s">
        <v>137</v>
      </c>
      <c r="F17" s="6" t="s">
        <v>149</v>
      </c>
      <c r="G17" s="6" t="s">
        <v>132</v>
      </c>
    </row>
    <row r="18">
      <c r="A18" s="6" t="s">
        <v>150</v>
      </c>
      <c r="B18" s="6">
        <v>29.0</v>
      </c>
      <c r="C18" s="6">
        <v>0.493</v>
      </c>
      <c r="D18" s="6">
        <v>17.4</v>
      </c>
      <c r="E18" s="6" t="s">
        <v>137</v>
      </c>
      <c r="F18" s="6" t="s">
        <v>149</v>
      </c>
      <c r="G18" s="6" t="s">
        <v>132</v>
      </c>
    </row>
    <row r="19">
      <c r="A19" s="6" t="s">
        <v>151</v>
      </c>
      <c r="B19" s="6">
        <v>2.0</v>
      </c>
      <c r="C19" s="6">
        <v>0.005</v>
      </c>
      <c r="D19" s="6">
        <v>0.7</v>
      </c>
      <c r="E19" s="6" t="s">
        <v>151</v>
      </c>
      <c r="F19" s="6" t="s">
        <v>152</v>
      </c>
      <c r="G19" s="6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I1:L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40.0"/>
    <col customWidth="1" min="3" max="3" width="17.0"/>
    <col customWidth="1" min="4" max="4" width="14.0"/>
    <col customWidth="1" min="5" max="5" width="17.0"/>
    <col customWidth="1" min="6" max="6" width="14.0"/>
    <col customWidth="1" min="7" max="7" width="2.0"/>
    <col customWidth="1" min="8" max="8" width="24.0"/>
    <col customWidth="1" min="9" max="9" width="40.0"/>
    <col customWidth="1" min="10" max="26" width="8.71"/>
  </cols>
  <sheetData>
    <row r="1">
      <c r="A1" s="21" t="s">
        <v>153</v>
      </c>
      <c r="B1" s="3"/>
      <c r="C1" s="3"/>
      <c r="D1" s="3"/>
      <c r="E1" s="3"/>
      <c r="F1" s="3"/>
      <c r="G1" s="3"/>
      <c r="H1" s="3"/>
      <c r="I1" s="4"/>
    </row>
    <row r="3">
      <c r="A3" s="6" t="s">
        <v>154</v>
      </c>
      <c r="B3" s="13" t="s">
        <v>155</v>
      </c>
      <c r="D3" s="6" t="s">
        <v>156</v>
      </c>
      <c r="E3" s="13" t="s">
        <v>157</v>
      </c>
    </row>
    <row r="5">
      <c r="A5" s="9" t="s">
        <v>158</v>
      </c>
      <c r="B5" s="3"/>
      <c r="C5" s="3"/>
      <c r="D5" s="3"/>
      <c r="E5" s="4"/>
      <c r="H5" s="9" t="s">
        <v>159</v>
      </c>
      <c r="I5" s="4"/>
    </row>
    <row r="6">
      <c r="A6" s="23" t="s">
        <v>160</v>
      </c>
      <c r="B6" s="23" t="s">
        <v>161</v>
      </c>
      <c r="C6" s="23" t="s">
        <v>162</v>
      </c>
      <c r="D6" s="23" t="s">
        <v>163</v>
      </c>
      <c r="E6" s="23" t="s">
        <v>164</v>
      </c>
      <c r="F6" s="23" t="s">
        <v>165</v>
      </c>
    </row>
    <row r="7">
      <c r="A7" s="6" t="s">
        <v>166</v>
      </c>
      <c r="B7" s="6">
        <v>1500.0</v>
      </c>
      <c r="C7" s="6">
        <f t="shared" ref="C7:C13" si="1">B7*1.214/1000</f>
        <v>1.821</v>
      </c>
      <c r="D7" s="6">
        <f t="shared" ref="D7:D13" si="2">B7*0.004</f>
        <v>6</v>
      </c>
      <c r="E7" s="6">
        <f t="shared" ref="E7:E13" si="3">B7*0.428/1000</f>
        <v>0.642</v>
      </c>
      <c r="F7" s="6">
        <f t="shared" ref="F7:F13" si="4">C7*0.12</f>
        <v>0.21852</v>
      </c>
      <c r="H7" s="6" t="s">
        <v>167</v>
      </c>
      <c r="I7" s="13">
        <v>10000.0</v>
      </c>
    </row>
    <row r="8">
      <c r="A8" s="6" t="s">
        <v>168</v>
      </c>
      <c r="B8" s="6">
        <v>1800.0</v>
      </c>
      <c r="C8" s="6">
        <f t="shared" si="1"/>
        <v>2.1852</v>
      </c>
      <c r="D8" s="6">
        <f t="shared" si="2"/>
        <v>7.2</v>
      </c>
      <c r="E8" s="6">
        <f t="shared" si="3"/>
        <v>0.7704</v>
      </c>
      <c r="F8" s="6">
        <f t="shared" si="4"/>
        <v>0.262224</v>
      </c>
      <c r="H8" s="6" t="s">
        <v>169</v>
      </c>
      <c r="I8" s="7">
        <f>B14</f>
        <v>9000</v>
      </c>
    </row>
    <row r="9">
      <c r="A9" s="6" t="s">
        <v>170</v>
      </c>
      <c r="B9" s="6">
        <v>2000.0</v>
      </c>
      <c r="C9" s="6">
        <f t="shared" si="1"/>
        <v>2.428</v>
      </c>
      <c r="D9" s="6">
        <f t="shared" si="2"/>
        <v>8</v>
      </c>
      <c r="E9" s="6">
        <f t="shared" si="3"/>
        <v>0.856</v>
      </c>
      <c r="F9" s="6">
        <f t="shared" si="4"/>
        <v>0.29136</v>
      </c>
      <c r="H9" s="6" t="s">
        <v>171</v>
      </c>
      <c r="I9" s="7">
        <f>(I8-I7)/I7</f>
        <v>-0.1</v>
      </c>
    </row>
    <row r="10">
      <c r="A10" s="6" t="s">
        <v>172</v>
      </c>
      <c r="B10" s="6">
        <v>1700.0</v>
      </c>
      <c r="C10" s="6">
        <f t="shared" si="1"/>
        <v>2.0638</v>
      </c>
      <c r="D10" s="6">
        <f t="shared" si="2"/>
        <v>6.8</v>
      </c>
      <c r="E10" s="6">
        <f t="shared" si="3"/>
        <v>0.7276</v>
      </c>
      <c r="F10" s="6">
        <f t="shared" si="4"/>
        <v>0.247656</v>
      </c>
    </row>
    <row r="11">
      <c r="A11" s="6" t="s">
        <v>173</v>
      </c>
      <c r="B11" s="6">
        <v>1200.0</v>
      </c>
      <c r="C11" s="6">
        <f t="shared" si="1"/>
        <v>1.4568</v>
      </c>
      <c r="D11" s="6">
        <f t="shared" si="2"/>
        <v>4.8</v>
      </c>
      <c r="E11" s="6">
        <f t="shared" si="3"/>
        <v>0.5136</v>
      </c>
      <c r="F11" s="6">
        <f t="shared" si="4"/>
        <v>0.174816</v>
      </c>
      <c r="H11" s="6" t="s">
        <v>174</v>
      </c>
      <c r="I11" s="28" t="str">
        <f>IF(I9&gt;0.1,"⚠️ Over Budget",IF(I9&lt;-0.1,"✅ Under Target","👍 On Track"))</f>
        <v>👍 On Track</v>
      </c>
    </row>
    <row r="12">
      <c r="A12" s="6" t="s">
        <v>175</v>
      </c>
      <c r="B12" s="6">
        <v>500.0</v>
      </c>
      <c r="C12" s="6">
        <f t="shared" si="1"/>
        <v>0.607</v>
      </c>
      <c r="D12" s="6">
        <f t="shared" si="2"/>
        <v>2</v>
      </c>
      <c r="E12" s="6">
        <f t="shared" si="3"/>
        <v>0.214</v>
      </c>
      <c r="F12" s="6">
        <f t="shared" si="4"/>
        <v>0.07284</v>
      </c>
    </row>
    <row r="13">
      <c r="A13" s="6" t="s">
        <v>176</v>
      </c>
      <c r="B13" s="6">
        <v>300.0</v>
      </c>
      <c r="C13" s="6">
        <f t="shared" si="1"/>
        <v>0.3642</v>
      </c>
      <c r="D13" s="6">
        <f t="shared" si="2"/>
        <v>1.2</v>
      </c>
      <c r="E13" s="6">
        <f t="shared" si="3"/>
        <v>0.1284</v>
      </c>
      <c r="F13" s="6">
        <f t="shared" si="4"/>
        <v>0.043704</v>
      </c>
    </row>
    <row r="14">
      <c r="A14" s="33" t="s">
        <v>177</v>
      </c>
      <c r="B14" s="33">
        <f t="shared" ref="B14:F14" si="5">SUM(B7:B13)</f>
        <v>9000</v>
      </c>
      <c r="C14" s="33">
        <f t="shared" si="5"/>
        <v>10.926</v>
      </c>
      <c r="D14" s="33">
        <f t="shared" si="5"/>
        <v>36</v>
      </c>
      <c r="E14" s="33">
        <f t="shared" si="5"/>
        <v>3.852</v>
      </c>
      <c r="F14" s="33">
        <f t="shared" si="5"/>
        <v>1.31112</v>
      </c>
    </row>
    <row r="16">
      <c r="A16" s="34" t="s">
        <v>178</v>
      </c>
      <c r="B16" s="3"/>
      <c r="C16" s="3"/>
      <c r="D16" s="3"/>
      <c r="E16" s="3"/>
      <c r="F16" s="3"/>
      <c r="G16" s="3"/>
      <c r="H16" s="3"/>
      <c r="I16" s="4"/>
    </row>
    <row r="18">
      <c r="A18" s="6" t="s">
        <v>12</v>
      </c>
      <c r="B18" s="28" t="str">
        <f>IF(E14&gt;5,"HIGH",IF(E14&gt;3,"MEDIUM","LOW"))</f>
        <v>MEDIUM</v>
      </c>
    </row>
    <row r="19">
      <c r="A19" s="6" t="s">
        <v>179</v>
      </c>
      <c r="B19" s="6" t="str">
        <f>IF(B18="HIGH","1. Review high-usage days 2. Implement query limits 3. Switch to efficient models","Continue monitoring")</f>
        <v>Continue monitoring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5:E5"/>
    <mergeCell ref="H5:I5"/>
    <mergeCell ref="A16:I16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32.0"/>
    <col customWidth="1" min="3" max="3" width="18.0"/>
    <col customWidth="1" min="4" max="5" width="8.0"/>
    <col customWidth="1" min="6" max="6" width="11.0"/>
    <col customWidth="1" min="7" max="7" width="10.0"/>
    <col customWidth="1" min="8" max="26" width="8.71"/>
  </cols>
  <sheetData>
    <row r="1">
      <c r="A1" s="32" t="s">
        <v>180</v>
      </c>
      <c r="B1" s="3"/>
      <c r="C1" s="3"/>
      <c r="D1" s="3"/>
      <c r="E1" s="3"/>
      <c r="F1" s="3"/>
      <c r="G1" s="4"/>
    </row>
    <row r="2">
      <c r="A2" s="6" t="s">
        <v>181</v>
      </c>
      <c r="B2" s="6" t="s">
        <v>182</v>
      </c>
      <c r="C2" s="6" t="s">
        <v>183</v>
      </c>
      <c r="D2" s="6" t="s">
        <v>184</v>
      </c>
      <c r="E2" s="6" t="s">
        <v>185</v>
      </c>
      <c r="F2" s="6" t="s">
        <v>186</v>
      </c>
      <c r="G2" s="25" t="s">
        <v>187</v>
      </c>
    </row>
    <row r="3">
      <c r="A3" s="6" t="s">
        <v>188</v>
      </c>
      <c r="B3" s="6" t="s">
        <v>189</v>
      </c>
      <c r="C3" s="6" t="s">
        <v>190</v>
      </c>
      <c r="D3" s="6" t="s">
        <v>31</v>
      </c>
      <c r="E3" s="6" t="s">
        <v>191</v>
      </c>
      <c r="F3" s="6" t="s">
        <v>192</v>
      </c>
      <c r="G3" s="29" t="s">
        <v>34</v>
      </c>
    </row>
    <row r="4">
      <c r="A4" s="6" t="s">
        <v>188</v>
      </c>
      <c r="B4" s="6" t="s">
        <v>193</v>
      </c>
      <c r="C4" s="6" t="s">
        <v>194</v>
      </c>
      <c r="D4" s="6" t="s">
        <v>191</v>
      </c>
      <c r="E4" s="6" t="s">
        <v>195</v>
      </c>
      <c r="F4" s="6" t="s">
        <v>196</v>
      </c>
      <c r="G4" s="29" t="s">
        <v>34</v>
      </c>
    </row>
    <row r="5">
      <c r="A5" s="6" t="s">
        <v>188</v>
      </c>
      <c r="B5" s="6" t="s">
        <v>197</v>
      </c>
      <c r="C5" s="6" t="s">
        <v>198</v>
      </c>
      <c r="D5" s="6" t="s">
        <v>191</v>
      </c>
      <c r="E5" s="6" t="s">
        <v>195</v>
      </c>
      <c r="F5" s="6" t="s">
        <v>199</v>
      </c>
      <c r="G5" s="27" t="s">
        <v>31</v>
      </c>
    </row>
    <row r="6">
      <c r="A6" s="6" t="s">
        <v>188</v>
      </c>
      <c r="B6" s="6" t="s">
        <v>200</v>
      </c>
      <c r="C6" s="6" t="s">
        <v>201</v>
      </c>
      <c r="D6" s="6" t="s">
        <v>31</v>
      </c>
      <c r="E6" s="6" t="s">
        <v>195</v>
      </c>
      <c r="F6" s="6" t="s">
        <v>202</v>
      </c>
      <c r="G6" s="27" t="s">
        <v>31</v>
      </c>
    </row>
    <row r="7">
      <c r="A7" s="6" t="s">
        <v>203</v>
      </c>
      <c r="B7" s="6" t="s">
        <v>204</v>
      </c>
      <c r="C7" s="6" t="s">
        <v>201</v>
      </c>
      <c r="D7" s="6" t="s">
        <v>191</v>
      </c>
      <c r="E7" s="6" t="s">
        <v>195</v>
      </c>
      <c r="F7" s="6" t="s">
        <v>196</v>
      </c>
      <c r="G7" s="29" t="s">
        <v>34</v>
      </c>
    </row>
    <row r="8">
      <c r="A8" s="6" t="s">
        <v>203</v>
      </c>
      <c r="B8" s="6" t="s">
        <v>205</v>
      </c>
      <c r="C8" s="6" t="s">
        <v>206</v>
      </c>
      <c r="D8" s="6" t="s">
        <v>31</v>
      </c>
      <c r="E8" s="6" t="s">
        <v>191</v>
      </c>
      <c r="F8" s="6" t="s">
        <v>202</v>
      </c>
      <c r="G8" s="27" t="s">
        <v>31</v>
      </c>
    </row>
    <row r="9">
      <c r="A9" s="6" t="s">
        <v>203</v>
      </c>
      <c r="B9" s="6" t="s">
        <v>207</v>
      </c>
      <c r="C9" s="6" t="s">
        <v>208</v>
      </c>
      <c r="D9" s="6" t="s">
        <v>191</v>
      </c>
      <c r="E9" s="6" t="s">
        <v>195</v>
      </c>
      <c r="F9" s="6" t="s">
        <v>199</v>
      </c>
      <c r="G9" s="29" t="s">
        <v>34</v>
      </c>
    </row>
    <row r="10">
      <c r="A10" s="6" t="s">
        <v>203</v>
      </c>
      <c r="B10" s="6" t="s">
        <v>209</v>
      </c>
      <c r="C10" s="6" t="s">
        <v>210</v>
      </c>
      <c r="D10" s="6" t="s">
        <v>31</v>
      </c>
      <c r="E10" s="6" t="s">
        <v>191</v>
      </c>
      <c r="F10" s="6" t="s">
        <v>202</v>
      </c>
      <c r="G10" s="25" t="s">
        <v>191</v>
      </c>
    </row>
    <row r="11">
      <c r="A11" s="6" t="s">
        <v>211</v>
      </c>
      <c r="B11" s="6" t="s">
        <v>212</v>
      </c>
      <c r="C11" s="6" t="s">
        <v>210</v>
      </c>
      <c r="D11" s="6" t="s">
        <v>191</v>
      </c>
      <c r="E11" s="6" t="s">
        <v>195</v>
      </c>
      <c r="F11" s="6" t="s">
        <v>196</v>
      </c>
      <c r="G11" s="27" t="s">
        <v>31</v>
      </c>
    </row>
    <row r="12">
      <c r="A12" s="6" t="s">
        <v>211</v>
      </c>
      <c r="B12" s="6" t="s">
        <v>213</v>
      </c>
      <c r="C12" s="6" t="s">
        <v>210</v>
      </c>
      <c r="D12" s="6" t="s">
        <v>191</v>
      </c>
      <c r="E12" s="6" t="s">
        <v>195</v>
      </c>
      <c r="F12" s="6" t="s">
        <v>196</v>
      </c>
      <c r="G12" s="25" t="s">
        <v>191</v>
      </c>
    </row>
    <row r="13">
      <c r="A13" s="6" t="s">
        <v>211</v>
      </c>
      <c r="B13" s="6" t="s">
        <v>214</v>
      </c>
      <c r="C13" s="6" t="s">
        <v>198</v>
      </c>
      <c r="D13" s="6" t="s">
        <v>191</v>
      </c>
      <c r="E13" s="6" t="s">
        <v>195</v>
      </c>
      <c r="F13" s="6" t="s">
        <v>196</v>
      </c>
      <c r="G13" s="29" t="s">
        <v>34</v>
      </c>
    </row>
    <row r="14">
      <c r="A14" s="6" t="s">
        <v>211</v>
      </c>
      <c r="B14" s="6" t="s">
        <v>215</v>
      </c>
      <c r="C14" s="6" t="s">
        <v>206</v>
      </c>
      <c r="D14" s="6" t="s">
        <v>31</v>
      </c>
      <c r="E14" s="6" t="s">
        <v>31</v>
      </c>
      <c r="F14" s="6" t="s">
        <v>192</v>
      </c>
      <c r="G14" s="6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3" width="2.0"/>
    <col customWidth="1" min="4" max="4" width="40.0"/>
    <col customWidth="1" min="5" max="6" width="2.0"/>
    <col customWidth="1" min="7" max="26" width="8.71"/>
  </cols>
  <sheetData>
    <row r="1">
      <c r="A1" s="21" t="s">
        <v>216</v>
      </c>
      <c r="B1" s="3"/>
      <c r="C1" s="3"/>
      <c r="D1" s="3"/>
      <c r="E1" s="3"/>
      <c r="F1" s="4"/>
    </row>
    <row r="3">
      <c r="A3" s="22" t="s">
        <v>217</v>
      </c>
    </row>
    <row r="5">
      <c r="A5" s="28" t="s">
        <v>218</v>
      </c>
      <c r="D5" s="28" t="s">
        <v>219</v>
      </c>
    </row>
    <row r="6">
      <c r="A6" s="6" t="s">
        <v>220</v>
      </c>
      <c r="D6" s="6" t="s">
        <v>221</v>
      </c>
    </row>
    <row r="7">
      <c r="A7" s="6" t="s">
        <v>222</v>
      </c>
      <c r="D7" s="6" t="s">
        <v>223</v>
      </c>
    </row>
    <row r="8">
      <c r="A8" s="6" t="s">
        <v>224</v>
      </c>
      <c r="D8" s="6" t="s">
        <v>225</v>
      </c>
    </row>
    <row r="9">
      <c r="A9" s="6" t="s">
        <v>226</v>
      </c>
    </row>
    <row r="10">
      <c r="A10" s="6" t="s">
        <v>227</v>
      </c>
      <c r="D10" s="28" t="s">
        <v>228</v>
      </c>
    </row>
    <row r="11">
      <c r="A11" s="6" t="s">
        <v>229</v>
      </c>
      <c r="D11" s="6" t="s">
        <v>230</v>
      </c>
    </row>
    <row r="12">
      <c r="A12" s="6" t="s">
        <v>231</v>
      </c>
      <c r="D12" s="6" t="s">
        <v>232</v>
      </c>
    </row>
    <row r="13">
      <c r="D13" s="6" t="s">
        <v>233</v>
      </c>
    </row>
    <row r="14">
      <c r="A14" s="28" t="s">
        <v>234</v>
      </c>
      <c r="D14" s="6" t="s">
        <v>235</v>
      </c>
    </row>
    <row r="15">
      <c r="A15" s="6" t="s">
        <v>236</v>
      </c>
    </row>
    <row r="16">
      <c r="A16" s="6" t="s">
        <v>237</v>
      </c>
      <c r="D16" s="28" t="s">
        <v>238</v>
      </c>
    </row>
    <row r="17">
      <c r="A17" s="6" t="s">
        <v>239</v>
      </c>
      <c r="D17" s="6" t="s">
        <v>240</v>
      </c>
    </row>
    <row r="18">
      <c r="A18" s="6" t="s">
        <v>241</v>
      </c>
      <c r="D18" s="6" t="s">
        <v>242</v>
      </c>
    </row>
    <row r="19">
      <c r="A19" s="6" t="s">
        <v>243</v>
      </c>
      <c r="D19" s="6" t="s">
        <v>244</v>
      </c>
    </row>
    <row r="20">
      <c r="A20" s="6" t="s">
        <v>245</v>
      </c>
      <c r="D20" s="6" t="s">
        <v>246</v>
      </c>
    </row>
    <row r="21" ht="15.75" customHeight="1">
      <c r="D21" s="6" t="s">
        <v>247</v>
      </c>
    </row>
    <row r="22" ht="15.75" customHeight="1">
      <c r="A22" s="28" t="s">
        <v>248</v>
      </c>
    </row>
    <row r="23" ht="15.75" customHeight="1">
      <c r="A23" s="6" t="s">
        <v>249</v>
      </c>
    </row>
    <row r="24" ht="15.75" customHeight="1">
      <c r="A24" s="6" t="s">
        <v>250</v>
      </c>
    </row>
    <row r="25" ht="15.75" customHeight="1">
      <c r="A25" s="6" t="s">
        <v>251</v>
      </c>
    </row>
    <row r="26" ht="15.75" customHeight="1">
      <c r="A26" s="6" t="s">
        <v>252</v>
      </c>
    </row>
    <row r="27" ht="15.75" customHeight="1">
      <c r="A27" s="6" t="s">
        <v>253</v>
      </c>
    </row>
    <row r="28" ht="15.75" customHeight="1">
      <c r="A28" s="6" t="s">
        <v>254</v>
      </c>
    </row>
    <row r="29" ht="15.75" customHeight="1">
      <c r="A29" s="6" t="s">
        <v>255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2025-10-28T20:07:52Z</dcterms:created>
  <dc:creator>openpyxl</dc:creator>
</cp:coreProperties>
</file>